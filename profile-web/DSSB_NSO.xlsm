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rldbankgroup-my.sharepoint.com/personal/dboller_worldbank_org/Documents/"/>
    </mc:Choice>
  </mc:AlternateContent>
  <xr:revisionPtr revIDLastSave="0" documentId="8_{4740E4DF-1CCD-4257-A7DE-E34CE883243A}" xr6:coauthVersionLast="47" xr6:coauthVersionMax="47" xr10:uidLastSave="{00000000-0000-0000-0000-000000000000}"/>
  <bookViews>
    <workbookView xWindow="-108" yWindow="-108" windowWidth="23256" windowHeight="12456" firstSheet="1" activeTab="1" xr2:uid="{E3D06D59-09B9-4000-A2F1-B355CE29BB3B}"/>
  </bookViews>
  <sheets>
    <sheet name="UNSD_NSO_Main" sheetId="3" r:id="rId1"/>
    <sheet name="IMF_DSSB" sheetId="4" r:id="rId2"/>
    <sheet name="UNSD_NSO_Original" sheetId="1" r:id="rId3"/>
  </sheets>
  <definedNames>
    <definedName name="_xlnm._FilterDatabase" localSheetId="1" hidden="1">IMF_DSSB!$A$2:$K$192</definedName>
    <definedName name="_xlnm._FilterDatabase" localSheetId="0" hidden="1">UNSD_NSO_Main!$A$2:$O$219</definedName>
    <definedName name="_xleta.TRI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5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40" i="3"/>
  <c r="E41" i="3"/>
  <c r="E42" i="3"/>
  <c r="E43" i="3"/>
  <c r="E44" i="3"/>
  <c r="E45" i="3"/>
  <c r="E46" i="3"/>
  <c r="E48" i="3"/>
  <c r="E49" i="3"/>
  <c r="E50" i="3"/>
  <c r="E52" i="3"/>
  <c r="E53" i="3"/>
  <c r="E54" i="3"/>
  <c r="E55" i="3"/>
  <c r="E56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1" i="3"/>
  <c r="E102" i="3"/>
  <c r="E103" i="3"/>
  <c r="E104" i="3"/>
  <c r="E105" i="3"/>
  <c r="E106" i="3"/>
  <c r="E107" i="3"/>
  <c r="E108" i="3"/>
  <c r="E111" i="3"/>
  <c r="E112" i="3"/>
  <c r="E113" i="3"/>
  <c r="E114" i="3"/>
  <c r="E116" i="3"/>
  <c r="E117" i="3"/>
  <c r="E118" i="3"/>
  <c r="E119" i="3"/>
  <c r="E120" i="3"/>
  <c r="E121" i="3"/>
  <c r="E124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2" i="3"/>
  <c r="E143" i="3"/>
  <c r="E146" i="3"/>
  <c r="E147" i="3"/>
  <c r="E149" i="3"/>
  <c r="E150" i="3"/>
  <c r="E151" i="3"/>
  <c r="E152" i="3"/>
  <c r="E153" i="3"/>
  <c r="E154" i="3"/>
  <c r="E155" i="3"/>
  <c r="E156" i="3"/>
  <c r="E157" i="3"/>
  <c r="E158" i="3"/>
  <c r="E159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F3" i="3"/>
  <c r="H10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J209" i="4"/>
  <c r="I209" i="4"/>
  <c r="I4" i="4"/>
  <c r="J4" i="4"/>
  <c r="I5" i="4"/>
  <c r="J5" i="4"/>
  <c r="I6" i="4"/>
  <c r="J6" i="4"/>
  <c r="I7" i="4"/>
  <c r="J7" i="4"/>
  <c r="I8" i="4"/>
  <c r="J8" i="4"/>
  <c r="I9" i="4"/>
  <c r="J9" i="4"/>
  <c r="I10" i="4"/>
  <c r="J10" i="4"/>
  <c r="I11" i="4"/>
  <c r="J11" i="4"/>
  <c r="I12" i="4"/>
  <c r="J12" i="4"/>
  <c r="I13" i="4"/>
  <c r="J13" i="4"/>
  <c r="I14" i="4"/>
  <c r="J14" i="4"/>
  <c r="I15" i="4"/>
  <c r="J15" i="4"/>
  <c r="I16" i="4"/>
  <c r="J16" i="4"/>
  <c r="I17" i="4"/>
  <c r="J17" i="4"/>
  <c r="I18" i="4"/>
  <c r="J18" i="4"/>
  <c r="I19" i="4"/>
  <c r="J19" i="4"/>
  <c r="I20" i="4"/>
  <c r="J20" i="4"/>
  <c r="I21" i="4"/>
  <c r="J21" i="4"/>
  <c r="I22" i="4"/>
  <c r="J22" i="4"/>
  <c r="I23" i="4"/>
  <c r="J23" i="4"/>
  <c r="I24" i="4"/>
  <c r="J24" i="4"/>
  <c r="I25" i="4"/>
  <c r="J25" i="4"/>
  <c r="I26" i="4"/>
  <c r="J26" i="4"/>
  <c r="I27" i="4"/>
  <c r="J27" i="4"/>
  <c r="I28" i="4"/>
  <c r="J28" i="4"/>
  <c r="I29" i="4"/>
  <c r="J29" i="4"/>
  <c r="I30" i="4"/>
  <c r="J30" i="4"/>
  <c r="I31" i="4"/>
  <c r="J31" i="4"/>
  <c r="I32" i="4"/>
  <c r="J32" i="4"/>
  <c r="I33" i="4"/>
  <c r="J33" i="4"/>
  <c r="I34" i="4"/>
  <c r="J34" i="4"/>
  <c r="I35" i="4"/>
  <c r="J35" i="4"/>
  <c r="I36" i="4"/>
  <c r="J36" i="4"/>
  <c r="I37" i="4"/>
  <c r="J37" i="4"/>
  <c r="I38" i="4"/>
  <c r="J38" i="4"/>
  <c r="I39" i="4"/>
  <c r="J39" i="4"/>
  <c r="I40" i="4"/>
  <c r="J40" i="4"/>
  <c r="I41" i="4"/>
  <c r="J41" i="4"/>
  <c r="I42" i="4"/>
  <c r="J42" i="4"/>
  <c r="I43" i="4"/>
  <c r="J43" i="4"/>
  <c r="I44" i="4"/>
  <c r="J44" i="4"/>
  <c r="I45" i="4"/>
  <c r="J45" i="4"/>
  <c r="I46" i="4"/>
  <c r="J46" i="4"/>
  <c r="I47" i="4"/>
  <c r="J47" i="4"/>
  <c r="I48" i="4"/>
  <c r="J48" i="4"/>
  <c r="I49" i="4"/>
  <c r="J49" i="4"/>
  <c r="I50" i="4"/>
  <c r="J50" i="4"/>
  <c r="I51" i="4"/>
  <c r="J51" i="4"/>
  <c r="I52" i="4"/>
  <c r="J52" i="4"/>
  <c r="I53" i="4"/>
  <c r="J53" i="4"/>
  <c r="I54" i="4"/>
  <c r="J54" i="4"/>
  <c r="I55" i="4"/>
  <c r="J55" i="4"/>
  <c r="I56" i="4"/>
  <c r="J56" i="4"/>
  <c r="I57" i="4"/>
  <c r="J57" i="4"/>
  <c r="I58" i="4"/>
  <c r="J58" i="4"/>
  <c r="I59" i="4"/>
  <c r="J59" i="4"/>
  <c r="I60" i="4"/>
  <c r="J60" i="4"/>
  <c r="I61" i="4"/>
  <c r="J61" i="4"/>
  <c r="I62" i="4"/>
  <c r="J62" i="4"/>
  <c r="I63" i="4"/>
  <c r="J63" i="4"/>
  <c r="I64" i="4"/>
  <c r="J64" i="4"/>
  <c r="I65" i="4"/>
  <c r="J65" i="4"/>
  <c r="I66" i="4"/>
  <c r="J66" i="4"/>
  <c r="I67" i="4"/>
  <c r="J67" i="4"/>
  <c r="I68" i="4"/>
  <c r="J68" i="4"/>
  <c r="I69" i="4"/>
  <c r="J69" i="4"/>
  <c r="I70" i="4"/>
  <c r="J70" i="4"/>
  <c r="I71" i="4"/>
  <c r="J71" i="4"/>
  <c r="I72" i="4"/>
  <c r="J72" i="4"/>
  <c r="I73" i="4"/>
  <c r="J73" i="4"/>
  <c r="I74" i="4"/>
  <c r="J74" i="4"/>
  <c r="I75" i="4"/>
  <c r="J75" i="4"/>
  <c r="I76" i="4"/>
  <c r="J76" i="4"/>
  <c r="I77" i="4"/>
  <c r="J77" i="4"/>
  <c r="I78" i="4"/>
  <c r="J78" i="4"/>
  <c r="I79" i="4"/>
  <c r="J79" i="4"/>
  <c r="I80" i="4"/>
  <c r="J80" i="4"/>
  <c r="I81" i="4"/>
  <c r="J81" i="4"/>
  <c r="I82" i="4"/>
  <c r="J82" i="4"/>
  <c r="I83" i="4"/>
  <c r="J83" i="4"/>
  <c r="I84" i="4"/>
  <c r="J84" i="4"/>
  <c r="I85" i="4"/>
  <c r="J85" i="4"/>
  <c r="I86" i="4"/>
  <c r="J86" i="4"/>
  <c r="I87" i="4"/>
  <c r="J87" i="4"/>
  <c r="I88" i="4"/>
  <c r="J88" i="4"/>
  <c r="I89" i="4"/>
  <c r="J89" i="4"/>
  <c r="I90" i="4"/>
  <c r="J90" i="4"/>
  <c r="I91" i="4"/>
  <c r="J91" i="4"/>
  <c r="I92" i="4"/>
  <c r="J92" i="4"/>
  <c r="I93" i="4"/>
  <c r="J93" i="4"/>
  <c r="I94" i="4"/>
  <c r="J94" i="4"/>
  <c r="I95" i="4"/>
  <c r="J95" i="4"/>
  <c r="I96" i="4"/>
  <c r="J96" i="4"/>
  <c r="I97" i="4"/>
  <c r="J97" i="4"/>
  <c r="I98" i="4"/>
  <c r="J98" i="4"/>
  <c r="I99" i="4"/>
  <c r="J99" i="4"/>
  <c r="I100" i="4"/>
  <c r="J100" i="4"/>
  <c r="I101" i="4"/>
  <c r="J101" i="4"/>
  <c r="I102" i="4"/>
  <c r="J102" i="4"/>
  <c r="I103" i="4"/>
  <c r="J103" i="4"/>
  <c r="I104" i="4"/>
  <c r="J104" i="4"/>
  <c r="I105" i="4"/>
  <c r="J105" i="4"/>
  <c r="I106" i="4"/>
  <c r="J106" i="4"/>
  <c r="I107" i="4"/>
  <c r="J107" i="4"/>
  <c r="I108" i="4"/>
  <c r="J108" i="4"/>
  <c r="I109" i="4"/>
  <c r="J109" i="4"/>
  <c r="I110" i="4"/>
  <c r="J110" i="4"/>
  <c r="I111" i="4"/>
  <c r="J111" i="4"/>
  <c r="I112" i="4"/>
  <c r="J112" i="4"/>
  <c r="I113" i="4"/>
  <c r="J113" i="4"/>
  <c r="I114" i="4"/>
  <c r="J114" i="4"/>
  <c r="I115" i="4"/>
  <c r="J115" i="4"/>
  <c r="I116" i="4"/>
  <c r="J116" i="4"/>
  <c r="I117" i="4"/>
  <c r="J117" i="4"/>
  <c r="I118" i="4"/>
  <c r="J118" i="4"/>
  <c r="I119" i="4"/>
  <c r="J119" i="4"/>
  <c r="I120" i="4"/>
  <c r="J120" i="4"/>
  <c r="I121" i="4"/>
  <c r="J121" i="4"/>
  <c r="I122" i="4"/>
  <c r="J122" i="4"/>
  <c r="I123" i="4"/>
  <c r="J123" i="4"/>
  <c r="I124" i="4"/>
  <c r="J124" i="4"/>
  <c r="I125" i="4"/>
  <c r="J125" i="4"/>
  <c r="I126" i="4"/>
  <c r="J126" i="4"/>
  <c r="I127" i="4"/>
  <c r="J127" i="4"/>
  <c r="I128" i="4"/>
  <c r="J128" i="4"/>
  <c r="I129" i="4"/>
  <c r="J129" i="4"/>
  <c r="I130" i="4"/>
  <c r="J130" i="4"/>
  <c r="I131" i="4"/>
  <c r="J131" i="4"/>
  <c r="I132" i="4"/>
  <c r="J132" i="4"/>
  <c r="I133" i="4"/>
  <c r="J133" i="4"/>
  <c r="I134" i="4"/>
  <c r="J134" i="4"/>
  <c r="I135" i="4"/>
  <c r="J135" i="4"/>
  <c r="I136" i="4"/>
  <c r="J136" i="4"/>
  <c r="I137" i="4"/>
  <c r="J137" i="4"/>
  <c r="I138" i="4"/>
  <c r="J138" i="4"/>
  <c r="I139" i="4"/>
  <c r="J139" i="4"/>
  <c r="I140" i="4"/>
  <c r="J140" i="4"/>
  <c r="I141" i="4"/>
  <c r="J141" i="4"/>
  <c r="I142" i="4"/>
  <c r="J142" i="4"/>
  <c r="I143" i="4"/>
  <c r="J143" i="4"/>
  <c r="I144" i="4"/>
  <c r="J144" i="4"/>
  <c r="I145" i="4"/>
  <c r="J145" i="4"/>
  <c r="I146" i="4"/>
  <c r="J146" i="4"/>
  <c r="I147" i="4"/>
  <c r="J147" i="4"/>
  <c r="I148" i="4"/>
  <c r="J148" i="4"/>
  <c r="I149" i="4"/>
  <c r="J149" i="4"/>
  <c r="I150" i="4"/>
  <c r="J150" i="4"/>
  <c r="I151" i="4"/>
  <c r="J151" i="4"/>
  <c r="I152" i="4"/>
  <c r="J152" i="4"/>
  <c r="I153" i="4"/>
  <c r="J153" i="4"/>
  <c r="I154" i="4"/>
  <c r="J154" i="4"/>
  <c r="I155" i="4"/>
  <c r="J155" i="4"/>
  <c r="I156" i="4"/>
  <c r="J156" i="4"/>
  <c r="I157" i="4"/>
  <c r="J157" i="4"/>
  <c r="I158" i="4"/>
  <c r="J158" i="4"/>
  <c r="I159" i="4"/>
  <c r="J159" i="4"/>
  <c r="I160" i="4"/>
  <c r="J160" i="4"/>
  <c r="I161" i="4"/>
  <c r="J161" i="4"/>
  <c r="I162" i="4"/>
  <c r="J162" i="4"/>
  <c r="I163" i="4"/>
  <c r="J163" i="4"/>
  <c r="I164" i="4"/>
  <c r="J164" i="4"/>
  <c r="I165" i="4"/>
  <c r="J165" i="4"/>
  <c r="I166" i="4"/>
  <c r="J166" i="4"/>
  <c r="I167" i="4"/>
  <c r="J167" i="4"/>
  <c r="I168" i="4"/>
  <c r="J168" i="4"/>
  <c r="I169" i="4"/>
  <c r="J169" i="4"/>
  <c r="I170" i="4"/>
  <c r="J170" i="4"/>
  <c r="I171" i="4"/>
  <c r="J171" i="4"/>
  <c r="I172" i="4"/>
  <c r="J172" i="4"/>
  <c r="I173" i="4"/>
  <c r="J173" i="4"/>
  <c r="I174" i="4"/>
  <c r="J174" i="4"/>
  <c r="I175" i="4"/>
  <c r="J175" i="4"/>
  <c r="I176" i="4"/>
  <c r="J176" i="4"/>
  <c r="I177" i="4"/>
  <c r="J177" i="4"/>
  <c r="I178" i="4"/>
  <c r="J178" i="4"/>
  <c r="I179" i="4"/>
  <c r="J179" i="4"/>
  <c r="I180" i="4"/>
  <c r="J180" i="4"/>
  <c r="I181" i="4"/>
  <c r="J181" i="4"/>
  <c r="I182" i="4"/>
  <c r="J182" i="4"/>
  <c r="I183" i="4"/>
  <c r="J183" i="4"/>
  <c r="I184" i="4"/>
  <c r="J184" i="4"/>
  <c r="I185" i="4"/>
  <c r="J185" i="4"/>
  <c r="I186" i="4"/>
  <c r="J186" i="4"/>
  <c r="I187" i="4"/>
  <c r="J187" i="4"/>
  <c r="I188" i="4"/>
  <c r="J188" i="4"/>
  <c r="I189" i="4"/>
  <c r="J189" i="4"/>
  <c r="I190" i="4"/>
  <c r="J190" i="4"/>
  <c r="I191" i="4"/>
  <c r="J191" i="4"/>
  <c r="I192" i="4"/>
  <c r="J192" i="4"/>
  <c r="I193" i="4"/>
  <c r="J193" i="4"/>
  <c r="I194" i="4"/>
  <c r="J194" i="4"/>
  <c r="I195" i="4"/>
  <c r="J195" i="4"/>
  <c r="I196" i="4"/>
  <c r="J196" i="4"/>
  <c r="I197" i="4"/>
  <c r="J197" i="4"/>
  <c r="I198" i="4"/>
  <c r="J198" i="4"/>
  <c r="I199" i="4"/>
  <c r="J199" i="4"/>
  <c r="I200" i="4"/>
  <c r="J200" i="4"/>
  <c r="I201" i="4"/>
  <c r="J201" i="4"/>
  <c r="I202" i="4"/>
  <c r="J202" i="4"/>
  <c r="I203" i="4"/>
  <c r="J203" i="4"/>
  <c r="I204" i="4"/>
  <c r="J204" i="4"/>
  <c r="I205" i="4"/>
  <c r="J205" i="4"/>
  <c r="I206" i="4"/>
  <c r="J206" i="4"/>
  <c r="I207" i="4"/>
  <c r="J207" i="4"/>
  <c r="I208" i="4"/>
  <c r="J208" i="4"/>
  <c r="I210" i="4"/>
  <c r="J210" i="4"/>
  <c r="I211" i="4"/>
  <c r="J211" i="4"/>
  <c r="I212" i="4"/>
  <c r="J212" i="4"/>
  <c r="I213" i="4"/>
  <c r="J213" i="4"/>
  <c r="I214" i="4"/>
  <c r="J214" i="4"/>
  <c r="I215" i="4"/>
  <c r="J215" i="4"/>
  <c r="I216" i="4"/>
  <c r="J216" i="4"/>
  <c r="I217" i="4"/>
  <c r="J217" i="4"/>
  <c r="I218" i="4"/>
  <c r="J218" i="4"/>
  <c r="I219" i="4"/>
  <c r="J219" i="4"/>
  <c r="I220" i="4"/>
  <c r="J220" i="4"/>
  <c r="I3" i="4"/>
  <c r="J3" i="4"/>
  <c r="F4" i="3"/>
  <c r="F5" i="3"/>
  <c r="F6" i="3"/>
  <c r="F7" i="3"/>
  <c r="M35" i="3" s="1"/>
  <c r="F8" i="3"/>
  <c r="F9" i="3"/>
  <c r="F10" i="3"/>
  <c r="F11" i="3"/>
  <c r="F12" i="3"/>
  <c r="F15" i="3"/>
  <c r="F17" i="3"/>
  <c r="F18" i="3"/>
  <c r="F19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40" i="3"/>
  <c r="F41" i="3"/>
  <c r="F42" i="3"/>
  <c r="F43" i="3"/>
  <c r="F44" i="3"/>
  <c r="F45" i="3"/>
  <c r="F46" i="3"/>
  <c r="F48" i="3"/>
  <c r="F49" i="3"/>
  <c r="F50" i="3"/>
  <c r="F52" i="3"/>
  <c r="F53" i="3"/>
  <c r="F54" i="3"/>
  <c r="F55" i="3"/>
  <c r="F56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1" i="3"/>
  <c r="F102" i="3"/>
  <c r="F103" i="3"/>
  <c r="F104" i="3"/>
  <c r="F105" i="3"/>
  <c r="F106" i="3"/>
  <c r="F107" i="3"/>
  <c r="F108" i="3"/>
  <c r="F111" i="3"/>
  <c r="F112" i="3"/>
  <c r="F113" i="3"/>
  <c r="F114" i="3"/>
  <c r="F116" i="3"/>
  <c r="F117" i="3"/>
  <c r="F118" i="3"/>
  <c r="F119" i="3"/>
  <c r="F120" i="3"/>
  <c r="F121" i="3"/>
  <c r="F124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2" i="3"/>
  <c r="F143" i="3"/>
  <c r="F146" i="3"/>
  <c r="F147" i="3"/>
  <c r="F149" i="3"/>
  <c r="F150" i="3"/>
  <c r="F151" i="3"/>
  <c r="F152" i="3"/>
  <c r="F153" i="3"/>
  <c r="F154" i="3"/>
  <c r="F155" i="3"/>
  <c r="F156" i="3"/>
  <c r="F157" i="3"/>
  <c r="F158" i="3"/>
  <c r="F159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D58" i="1" a="1"/>
  <c r="D64" i="1" a="1"/>
  <c r="D70" i="1" a="1"/>
  <c r="D76" i="1" a="1"/>
  <c r="D82" i="1" a="1"/>
  <c r="D88" i="1" a="1"/>
  <c r="D94" i="1" a="1"/>
  <c r="D100" i="1" a="1"/>
  <c r="D104" i="1" a="1"/>
  <c r="D110" i="1" a="1"/>
  <c r="D116" i="1" a="1"/>
  <c r="D122" i="1" a="1"/>
  <c r="D128" i="1" a="1"/>
  <c r="D134" i="1" a="1"/>
  <c r="D140" i="1" a="1"/>
  <c r="D146" i="1" a="1"/>
  <c r="D156" i="1" a="1"/>
  <c r="D162" i="1" a="1"/>
  <c r="D168" i="1" a="1"/>
  <c r="D174" i="1" a="1"/>
  <c r="D180" i="1" a="1"/>
  <c r="D186" i="1" a="1"/>
  <c r="D192" i="1" a="1"/>
  <c r="D198" i="1" a="1"/>
  <c r="D204" i="1" a="1"/>
  <c r="D208" i="1" a="1"/>
  <c r="D214" i="1" a="1"/>
  <c r="D220" i="1" a="1"/>
  <c r="D226" i="1" a="1"/>
  <c r="D93" i="1" a="1"/>
  <c r="D99" i="1" a="1"/>
  <c r="D59" i="1" a="1"/>
  <c r="D65" i="1" a="1"/>
  <c r="D71" i="1" a="1"/>
  <c r="D77" i="1" a="1"/>
  <c r="D83" i="1" a="1"/>
  <c r="D89" i="1" a="1"/>
  <c r="D95" i="1" a="1"/>
  <c r="D105" i="1" a="1"/>
  <c r="D111" i="1" a="1"/>
  <c r="D117" i="1" a="1"/>
  <c r="D123" i="1" a="1"/>
  <c r="D129" i="1" a="1"/>
  <c r="D135" i="1" a="1"/>
  <c r="D141" i="1" a="1"/>
  <c r="D147" i="1" a="1"/>
  <c r="D151" i="1" a="1"/>
  <c r="D157" i="1" a="1"/>
  <c r="D163" i="1" a="1"/>
  <c r="D169" i="1" a="1"/>
  <c r="D175" i="1" a="1"/>
  <c r="D181" i="1" a="1"/>
  <c r="D187" i="1" a="1"/>
  <c r="D193" i="1" a="1"/>
  <c r="D199" i="1" a="1"/>
  <c r="D205" i="1" a="1"/>
  <c r="D209" i="1" a="1"/>
  <c r="D215" i="1" a="1"/>
  <c r="D221" i="1" a="1"/>
  <c r="D103" i="1" a="1"/>
  <c r="D109" i="1" a="1"/>
  <c r="D54" i="1" a="1"/>
  <c r="D60" i="1" a="1"/>
  <c r="D66" i="1" a="1"/>
  <c r="D72" i="1" a="1"/>
  <c r="D78" i="1" a="1"/>
  <c r="D84" i="1" a="1"/>
  <c r="D90" i="1" a="1"/>
  <c r="D96" i="1" a="1"/>
  <c r="D106" i="1" a="1"/>
  <c r="D112" i="1" a="1"/>
  <c r="D118" i="1" a="1"/>
  <c r="D124" i="1" a="1"/>
  <c r="D130" i="1" a="1"/>
  <c r="D136" i="1" a="1"/>
  <c r="D142" i="1" a="1"/>
  <c r="D148" i="1" a="1"/>
  <c r="D152" i="1" a="1"/>
  <c r="D158" i="1" a="1"/>
  <c r="D164" i="1" a="1"/>
  <c r="D170" i="1" a="1"/>
  <c r="D176" i="1" a="1"/>
  <c r="D182" i="1" a="1"/>
  <c r="D188" i="1" a="1"/>
  <c r="D194" i="1" a="1"/>
  <c r="D200" i="1" a="1"/>
  <c r="D210" i="1" a="1"/>
  <c r="D216" i="1" a="1"/>
  <c r="D222" i="1" a="1"/>
  <c r="D87" i="1" a="1"/>
  <c r="D63" i="1" a="1"/>
  <c r="D55" i="1" a="1"/>
  <c r="D61" i="1" a="1"/>
  <c r="D67" i="1" a="1"/>
  <c r="D73" i="1" a="1"/>
  <c r="D79" i="1" a="1"/>
  <c r="D85" i="1" a="1"/>
  <c r="D91" i="1" a="1"/>
  <c r="D97" i="1" a="1"/>
  <c r="D101" i="1" a="1"/>
  <c r="D107" i="1" a="1"/>
  <c r="D113" i="1" a="1"/>
  <c r="D119" i="1" a="1"/>
  <c r="D125" i="1" a="1"/>
  <c r="D131" i="1" a="1"/>
  <c r="D137" i="1" a="1"/>
  <c r="D143" i="1" a="1"/>
  <c r="D149" i="1" a="1"/>
  <c r="D153" i="1" a="1"/>
  <c r="D159" i="1" a="1"/>
  <c r="D165" i="1" a="1"/>
  <c r="D171" i="1" a="1"/>
  <c r="D177" i="1" a="1"/>
  <c r="D183" i="1" a="1"/>
  <c r="D189" i="1" a="1"/>
  <c r="D195" i="1" a="1"/>
  <c r="D201" i="1" a="1"/>
  <c r="D211" i="1" a="1"/>
  <c r="D217" i="1" a="1"/>
  <c r="D223" i="1" a="1"/>
  <c r="D75" i="1" a="1"/>
  <c r="D115" i="1" a="1"/>
  <c r="D121" i="1" a="1"/>
  <c r="D127" i="1" a="1"/>
  <c r="D133" i="1" a="1"/>
  <c r="D145" i="1" a="1"/>
  <c r="D161" i="1" a="1"/>
  <c r="D173" i="1" a="1"/>
  <c r="D185" i="1" a="1"/>
  <c r="D197" i="1" a="1"/>
  <c r="D207" i="1" a="1"/>
  <c r="D219" i="1" a="1"/>
  <c r="D69" i="1" a="1"/>
  <c r="D139" i="1" a="1"/>
  <c r="D155" i="1" a="1"/>
  <c r="D167" i="1" a="1"/>
  <c r="D179" i="1" a="1"/>
  <c r="D191" i="1" a="1"/>
  <c r="D203" i="1" a="1"/>
  <c r="D213" i="1" a="1"/>
  <c r="D225" i="1" a="1"/>
  <c r="D56" i="1" a="1"/>
  <c r="D62" i="1" a="1"/>
  <c r="D68" i="1" a="1"/>
  <c r="D74" i="1" a="1"/>
  <c r="D80" i="1" a="1"/>
  <c r="D86" i="1" a="1"/>
  <c r="D92" i="1" a="1"/>
  <c r="D98" i="1" a="1"/>
  <c r="D102" i="1" a="1"/>
  <c r="D108" i="1" a="1"/>
  <c r="D114" i="1" a="1"/>
  <c r="D120" i="1" a="1"/>
  <c r="D126" i="1" a="1"/>
  <c r="D132" i="1" a="1"/>
  <c r="D138" i="1" a="1"/>
  <c r="D144" i="1" a="1"/>
  <c r="D150" i="1" a="1"/>
  <c r="D154" i="1" a="1"/>
  <c r="D160" i="1" a="1"/>
  <c r="D166" i="1" a="1"/>
  <c r="D172" i="1" a="1"/>
  <c r="D178" i="1" a="1"/>
  <c r="D184" i="1" a="1"/>
  <c r="D190" i="1" a="1"/>
  <c r="D196" i="1" a="1"/>
  <c r="D202" i="1" a="1"/>
  <c r="D206" i="1" a="1"/>
  <c r="D212" i="1" a="1"/>
  <c r="D218" i="1" a="1"/>
  <c r="D224" i="1" a="1"/>
  <c r="D81" i="1" a="1"/>
  <c r="D57" i="1" a="1"/>
  <c r="D3" i="1" a="1"/>
  <c r="D9" i="1" a="1"/>
  <c r="D15" i="1" a="1"/>
  <c r="D21" i="1" a="1"/>
  <c r="D27" i="1" a="1"/>
  <c r="D33" i="1" a="1"/>
  <c r="D39" i="1" a="1"/>
  <c r="D45" i="1" a="1"/>
  <c r="D51" i="1" a="1"/>
  <c r="D24" i="1" a="1"/>
  <c r="D4" i="1" a="1"/>
  <c r="D10" i="1" a="1"/>
  <c r="D16" i="1" a="1"/>
  <c r="D22" i="1" a="1"/>
  <c r="D28" i="1" a="1"/>
  <c r="D34" i="1" a="1"/>
  <c r="D40" i="1" a="1"/>
  <c r="D46" i="1" a="1"/>
  <c r="D52" i="1" a="1"/>
  <c r="D36" i="1" a="1"/>
  <c r="D5" i="1" a="1"/>
  <c r="D11" i="1" a="1"/>
  <c r="D17" i="1" a="1"/>
  <c r="D23" i="1" a="1"/>
  <c r="D29" i="1" a="1"/>
  <c r="D35" i="1" a="1"/>
  <c r="D41" i="1" a="1"/>
  <c r="D47" i="1" a="1"/>
  <c r="D53" i="1" a="1"/>
  <c r="D18" i="1" a="1"/>
  <c r="D12" i="1" a="1"/>
  <c r="D6" i="1" a="1"/>
  <c r="D48" i="1" a="1"/>
  <c r="D7" i="1" a="1"/>
  <c r="D13" i="1" a="1"/>
  <c r="D19" i="1" a="1"/>
  <c r="D25" i="1" a="1"/>
  <c r="D31" i="1" a="1"/>
  <c r="D37" i="1" a="1"/>
  <c r="D43" i="1" a="1"/>
  <c r="D49" i="1" a="1"/>
  <c r="D42" i="1" a="1"/>
  <c r="D30" i="1" a="1"/>
  <c r="D8" i="1" a="1"/>
  <c r="D14" i="1" a="1"/>
  <c r="D20" i="1" a="1"/>
  <c r="D26" i="1" a="1"/>
  <c r="D32" i="1" a="1"/>
  <c r="D38" i="1" a="1"/>
  <c r="D44" i="1" a="1"/>
  <c r="D50" i="1" a="1"/>
  <c r="M34" i="3" l="1"/>
  <c r="N33" i="3"/>
  <c r="N15" i="3"/>
  <c r="M33" i="3"/>
  <c r="M23" i="3"/>
  <c r="M8" i="3"/>
  <c r="O33" i="3"/>
  <c r="M215" i="3"/>
  <c r="M143" i="3"/>
  <c r="N219" i="3"/>
  <c r="M214" i="3"/>
  <c r="M178" i="3"/>
  <c r="M142" i="3"/>
  <c r="M106" i="3"/>
  <c r="M70" i="3"/>
  <c r="O218" i="3"/>
  <c r="O195" i="3"/>
  <c r="O171" i="3"/>
  <c r="O147" i="3"/>
  <c r="O123" i="3"/>
  <c r="O99" i="3"/>
  <c r="N80" i="3"/>
  <c r="N57" i="3"/>
  <c r="M179" i="3"/>
  <c r="M107" i="3"/>
  <c r="M71" i="3"/>
  <c r="O200" i="3"/>
  <c r="O152" i="3"/>
  <c r="O57" i="3"/>
  <c r="M213" i="3"/>
  <c r="M177" i="3"/>
  <c r="M141" i="3"/>
  <c r="M105" i="3"/>
  <c r="M69" i="3"/>
  <c r="O216" i="3"/>
  <c r="N195" i="3"/>
  <c r="N171" i="3"/>
  <c r="N147" i="3"/>
  <c r="N123" i="3"/>
  <c r="N99" i="3"/>
  <c r="O75" i="3"/>
  <c r="O56" i="3"/>
  <c r="O32" i="3"/>
  <c r="O176" i="3"/>
  <c r="O128" i="3"/>
  <c r="O104" i="3"/>
  <c r="O80" i="3"/>
  <c r="M212" i="3"/>
  <c r="M176" i="3"/>
  <c r="M140" i="3"/>
  <c r="M104" i="3"/>
  <c r="M68" i="3"/>
  <c r="M32" i="3"/>
  <c r="O213" i="3"/>
  <c r="O194" i="3"/>
  <c r="O170" i="3"/>
  <c r="O146" i="3"/>
  <c r="O122" i="3"/>
  <c r="O98" i="3"/>
  <c r="N75" i="3"/>
  <c r="O51" i="3"/>
  <c r="O27" i="3"/>
  <c r="M203" i="3"/>
  <c r="M167" i="3"/>
  <c r="M131" i="3"/>
  <c r="M95" i="3"/>
  <c r="M59" i="3"/>
  <c r="N213" i="3"/>
  <c r="O189" i="3"/>
  <c r="O165" i="3"/>
  <c r="O141" i="3"/>
  <c r="O117" i="3"/>
  <c r="O93" i="3"/>
  <c r="O74" i="3"/>
  <c r="N51" i="3"/>
  <c r="N27" i="3"/>
  <c r="M202" i="3"/>
  <c r="M166" i="3"/>
  <c r="M130" i="3"/>
  <c r="M94" i="3"/>
  <c r="M58" i="3"/>
  <c r="M22" i="3"/>
  <c r="O212" i="3"/>
  <c r="N189" i="3"/>
  <c r="N165" i="3"/>
  <c r="N141" i="3"/>
  <c r="N117" i="3"/>
  <c r="N93" i="3"/>
  <c r="N74" i="3"/>
  <c r="O50" i="3"/>
  <c r="O26" i="3"/>
  <c r="M201" i="3"/>
  <c r="M165" i="3"/>
  <c r="M129" i="3"/>
  <c r="M93" i="3"/>
  <c r="M57" i="3"/>
  <c r="M21" i="3"/>
  <c r="O207" i="3"/>
  <c r="O188" i="3"/>
  <c r="O164" i="3"/>
  <c r="O140" i="3"/>
  <c r="O116" i="3"/>
  <c r="O92" i="3"/>
  <c r="O69" i="3"/>
  <c r="O45" i="3"/>
  <c r="O21" i="3"/>
  <c r="M200" i="3"/>
  <c r="M164" i="3"/>
  <c r="M128" i="3"/>
  <c r="M92" i="3"/>
  <c r="M56" i="3"/>
  <c r="M11" i="3"/>
  <c r="N207" i="3"/>
  <c r="O183" i="3"/>
  <c r="O159" i="3"/>
  <c r="O135" i="3"/>
  <c r="O111" i="3"/>
  <c r="O87" i="3"/>
  <c r="N69" i="3"/>
  <c r="N45" i="3"/>
  <c r="N21" i="3"/>
  <c r="M191" i="3"/>
  <c r="M155" i="3"/>
  <c r="M119" i="3"/>
  <c r="M83" i="3"/>
  <c r="M47" i="3"/>
  <c r="M10" i="3"/>
  <c r="O206" i="3"/>
  <c r="N183" i="3"/>
  <c r="N159" i="3"/>
  <c r="N135" i="3"/>
  <c r="N111" i="3"/>
  <c r="N87" i="3"/>
  <c r="O68" i="3"/>
  <c r="O44" i="3"/>
  <c r="O20" i="3"/>
  <c r="M190" i="3"/>
  <c r="M154" i="3"/>
  <c r="M118" i="3"/>
  <c r="M82" i="3"/>
  <c r="M46" i="3"/>
  <c r="M9" i="3"/>
  <c r="N206" i="3"/>
  <c r="O182" i="3"/>
  <c r="O158" i="3"/>
  <c r="O134" i="3"/>
  <c r="O110" i="3"/>
  <c r="O86" i="3"/>
  <c r="O63" i="3"/>
  <c r="O39" i="3"/>
  <c r="O15" i="3"/>
  <c r="N4" i="3"/>
  <c r="M189" i="3"/>
  <c r="M153" i="3"/>
  <c r="M117" i="3"/>
  <c r="M81" i="3"/>
  <c r="M45" i="3"/>
  <c r="O201" i="3"/>
  <c r="O177" i="3"/>
  <c r="O153" i="3"/>
  <c r="O129" i="3"/>
  <c r="O105" i="3"/>
  <c r="O81" i="3"/>
  <c r="N63" i="3"/>
  <c r="N39" i="3"/>
  <c r="N14" i="3"/>
  <c r="N68" i="3"/>
  <c r="N92" i="3"/>
  <c r="N98" i="3"/>
  <c r="N110" i="3"/>
  <c r="N122" i="3"/>
  <c r="N134" i="3"/>
  <c r="N146" i="3"/>
  <c r="N158" i="3"/>
  <c r="N170" i="3"/>
  <c r="N182" i="3"/>
  <c r="N194" i="3"/>
  <c r="N20" i="3"/>
  <c r="N56" i="3"/>
  <c r="N86" i="3"/>
  <c r="N104" i="3"/>
  <c r="N116" i="3"/>
  <c r="N128" i="3"/>
  <c r="N140" i="3"/>
  <c r="N152" i="3"/>
  <c r="N164" i="3"/>
  <c r="N176" i="3"/>
  <c r="N188" i="3"/>
  <c r="N200" i="3"/>
  <c r="N212" i="3"/>
  <c r="N218" i="3"/>
  <c r="M20" i="3"/>
  <c r="N32" i="3"/>
  <c r="N44" i="3"/>
  <c r="N62" i="3"/>
  <c r="N26" i="3"/>
  <c r="N38" i="3"/>
  <c r="N50" i="3"/>
  <c r="M188" i="3"/>
  <c r="M152" i="3"/>
  <c r="M116" i="3"/>
  <c r="M80" i="3"/>
  <c r="M44" i="3"/>
  <c r="O219" i="3"/>
  <c r="N201" i="3"/>
  <c r="N177" i="3"/>
  <c r="N153" i="3"/>
  <c r="N129" i="3"/>
  <c r="N105" i="3"/>
  <c r="N81" i="3"/>
  <c r="O62" i="3"/>
  <c r="O38" i="3"/>
  <c r="O14" i="3"/>
  <c r="O9" i="3"/>
  <c r="N9" i="3"/>
  <c r="O8" i="3"/>
  <c r="N8" i="3"/>
  <c r="M79" i="3"/>
  <c r="M67" i="3"/>
  <c r="M55" i="3"/>
  <c r="M43" i="3"/>
  <c r="M31" i="3"/>
  <c r="M19" i="3"/>
  <c r="M7" i="3"/>
  <c r="O217" i="3"/>
  <c r="O211" i="3"/>
  <c r="O205" i="3"/>
  <c r="O199" i="3"/>
  <c r="O193" i="3"/>
  <c r="O187" i="3"/>
  <c r="O181" i="3"/>
  <c r="O175" i="3"/>
  <c r="O169" i="3"/>
  <c r="O163" i="3"/>
  <c r="O157" i="3"/>
  <c r="O151" i="3"/>
  <c r="O145" i="3"/>
  <c r="O139" i="3"/>
  <c r="O133" i="3"/>
  <c r="O127" i="3"/>
  <c r="O121" i="3"/>
  <c r="O115" i="3"/>
  <c r="O109" i="3"/>
  <c r="O103" i="3"/>
  <c r="O97" i="3"/>
  <c r="O91" i="3"/>
  <c r="O85" i="3"/>
  <c r="O79" i="3"/>
  <c r="O73" i="3"/>
  <c r="O67" i="3"/>
  <c r="O61" i="3"/>
  <c r="O55" i="3"/>
  <c r="O49" i="3"/>
  <c r="O43" i="3"/>
  <c r="O37" i="3"/>
  <c r="O31" i="3"/>
  <c r="O25" i="3"/>
  <c r="O19" i="3"/>
  <c r="O13" i="3"/>
  <c r="O7" i="3"/>
  <c r="N7" i="3"/>
  <c r="O6" i="3"/>
  <c r="M199" i="3"/>
  <c r="M151" i="3"/>
  <c r="M127" i="3"/>
  <c r="M174" i="3"/>
  <c r="M126" i="3"/>
  <c r="M90" i="3"/>
  <c r="M42" i="3"/>
  <c r="M6" i="3"/>
  <c r="N205" i="3"/>
  <c r="N181" i="3"/>
  <c r="N157" i="3"/>
  <c r="N145" i="3"/>
  <c r="N133" i="3"/>
  <c r="N109" i="3"/>
  <c r="N97" i="3"/>
  <c r="N91" i="3"/>
  <c r="N79" i="3"/>
  <c r="N67" i="3"/>
  <c r="N55" i="3"/>
  <c r="N43" i="3"/>
  <c r="N31" i="3"/>
  <c r="M197" i="3"/>
  <c r="M149" i="3"/>
  <c r="M101" i="3"/>
  <c r="M65" i="3"/>
  <c r="M5" i="3"/>
  <c r="O18" i="3"/>
  <c r="M220" i="3"/>
  <c r="M208" i="3"/>
  <c r="M196" i="3"/>
  <c r="M184" i="3"/>
  <c r="M172" i="3"/>
  <c r="M160" i="3"/>
  <c r="M148" i="3"/>
  <c r="M136" i="3"/>
  <c r="M124" i="3"/>
  <c r="M112" i="3"/>
  <c r="M100" i="3"/>
  <c r="M88" i="3"/>
  <c r="M76" i="3"/>
  <c r="M64" i="3"/>
  <c r="M52" i="3"/>
  <c r="M40" i="3"/>
  <c r="M28" i="3"/>
  <c r="M16" i="3"/>
  <c r="M4" i="3"/>
  <c r="N216" i="3"/>
  <c r="N210" i="3"/>
  <c r="N204" i="3"/>
  <c r="N198" i="3"/>
  <c r="N192" i="3"/>
  <c r="N186" i="3"/>
  <c r="N180" i="3"/>
  <c r="N174" i="3"/>
  <c r="N168" i="3"/>
  <c r="N162" i="3"/>
  <c r="N156" i="3"/>
  <c r="N150" i="3"/>
  <c r="N144" i="3"/>
  <c r="N138" i="3"/>
  <c r="N132" i="3"/>
  <c r="N126" i="3"/>
  <c r="N120" i="3"/>
  <c r="N114" i="3"/>
  <c r="N108" i="3"/>
  <c r="N102" i="3"/>
  <c r="N96" i="3"/>
  <c r="N90" i="3"/>
  <c r="N84" i="3"/>
  <c r="N78" i="3"/>
  <c r="N72" i="3"/>
  <c r="N66" i="3"/>
  <c r="N60" i="3"/>
  <c r="N54" i="3"/>
  <c r="N48" i="3"/>
  <c r="N42" i="3"/>
  <c r="N36" i="3"/>
  <c r="N30" i="3"/>
  <c r="N24" i="3"/>
  <c r="N18" i="3"/>
  <c r="N12" i="3"/>
  <c r="N6" i="3"/>
  <c r="M211" i="3"/>
  <c r="M163" i="3"/>
  <c r="M115" i="3"/>
  <c r="M210" i="3"/>
  <c r="M162" i="3"/>
  <c r="M114" i="3"/>
  <c r="M66" i="3"/>
  <c r="M30" i="3"/>
  <c r="N211" i="3"/>
  <c r="N187" i="3"/>
  <c r="N175" i="3"/>
  <c r="N151" i="3"/>
  <c r="N139" i="3"/>
  <c r="N115" i="3"/>
  <c r="N103" i="3"/>
  <c r="N85" i="3"/>
  <c r="N73" i="3"/>
  <c r="N61" i="3"/>
  <c r="N49" i="3"/>
  <c r="N37" i="3"/>
  <c r="N25" i="3"/>
  <c r="M185" i="3"/>
  <c r="M137" i="3"/>
  <c r="M89" i="3"/>
  <c r="M53" i="3"/>
  <c r="M17" i="3"/>
  <c r="O30" i="3"/>
  <c r="M219" i="3"/>
  <c r="M207" i="3"/>
  <c r="M195" i="3"/>
  <c r="M183" i="3"/>
  <c r="M171" i="3"/>
  <c r="M159" i="3"/>
  <c r="M147" i="3"/>
  <c r="M135" i="3"/>
  <c r="M123" i="3"/>
  <c r="M111" i="3"/>
  <c r="M99" i="3"/>
  <c r="M87" i="3"/>
  <c r="M75" i="3"/>
  <c r="M63" i="3"/>
  <c r="M51" i="3"/>
  <c r="M39" i="3"/>
  <c r="M27" i="3"/>
  <c r="M15" i="3"/>
  <c r="N3" i="3"/>
  <c r="O215" i="3"/>
  <c r="O209" i="3"/>
  <c r="O203" i="3"/>
  <c r="O197" i="3"/>
  <c r="O191" i="3"/>
  <c r="O185" i="3"/>
  <c r="O179" i="3"/>
  <c r="O173" i="3"/>
  <c r="O167" i="3"/>
  <c r="O161" i="3"/>
  <c r="O155" i="3"/>
  <c r="O149" i="3"/>
  <c r="O143" i="3"/>
  <c r="O137" i="3"/>
  <c r="O131" i="3"/>
  <c r="O125" i="3"/>
  <c r="O119" i="3"/>
  <c r="O113" i="3"/>
  <c r="O107" i="3"/>
  <c r="O101" i="3"/>
  <c r="O95" i="3"/>
  <c r="O89" i="3"/>
  <c r="O83" i="3"/>
  <c r="O77" i="3"/>
  <c r="O71" i="3"/>
  <c r="O65" i="3"/>
  <c r="O59" i="3"/>
  <c r="O53" i="3"/>
  <c r="O47" i="3"/>
  <c r="O41" i="3"/>
  <c r="O35" i="3"/>
  <c r="O29" i="3"/>
  <c r="O23" i="3"/>
  <c r="O17" i="3"/>
  <c r="O11" i="3"/>
  <c r="O5" i="3"/>
  <c r="M175" i="3"/>
  <c r="M91" i="3"/>
  <c r="M186" i="3"/>
  <c r="M138" i="3"/>
  <c r="M78" i="3"/>
  <c r="M18" i="3"/>
  <c r="N199" i="3"/>
  <c r="N163" i="3"/>
  <c r="N121" i="3"/>
  <c r="N13" i="3"/>
  <c r="M209" i="3"/>
  <c r="M161" i="3"/>
  <c r="M113" i="3"/>
  <c r="M41" i="3"/>
  <c r="O24" i="3"/>
  <c r="M218" i="3"/>
  <c r="M206" i="3"/>
  <c r="M194" i="3"/>
  <c r="M182" i="3"/>
  <c r="M170" i="3"/>
  <c r="M158" i="3"/>
  <c r="M146" i="3"/>
  <c r="M134" i="3"/>
  <c r="M122" i="3"/>
  <c r="M110" i="3"/>
  <c r="M98" i="3"/>
  <c r="M86" i="3"/>
  <c r="M74" i="3"/>
  <c r="M62" i="3"/>
  <c r="M50" i="3"/>
  <c r="M38" i="3"/>
  <c r="M26" i="3"/>
  <c r="M14" i="3"/>
  <c r="O3" i="3"/>
  <c r="N215" i="3"/>
  <c r="N209" i="3"/>
  <c r="N203" i="3"/>
  <c r="N197" i="3"/>
  <c r="N191" i="3"/>
  <c r="N185" i="3"/>
  <c r="N179" i="3"/>
  <c r="N173" i="3"/>
  <c r="N167" i="3"/>
  <c r="N161" i="3"/>
  <c r="N155" i="3"/>
  <c r="N149" i="3"/>
  <c r="N143" i="3"/>
  <c r="N137" i="3"/>
  <c r="N131" i="3"/>
  <c r="N125" i="3"/>
  <c r="N119" i="3"/>
  <c r="N113" i="3"/>
  <c r="N107" i="3"/>
  <c r="N101" i="3"/>
  <c r="N95" i="3"/>
  <c r="N89" i="3"/>
  <c r="N83" i="3"/>
  <c r="N77" i="3"/>
  <c r="N71" i="3"/>
  <c r="N65" i="3"/>
  <c r="N59" i="3"/>
  <c r="N53" i="3"/>
  <c r="N47" i="3"/>
  <c r="N41" i="3"/>
  <c r="N35" i="3"/>
  <c r="N29" i="3"/>
  <c r="N23" i="3"/>
  <c r="N17" i="3"/>
  <c r="N11" i="3"/>
  <c r="N5" i="3"/>
  <c r="M187" i="3"/>
  <c r="M139" i="3"/>
  <c r="M103" i="3"/>
  <c r="M198" i="3"/>
  <c r="M150" i="3"/>
  <c r="M102" i="3"/>
  <c r="M54" i="3"/>
  <c r="N217" i="3"/>
  <c r="N193" i="3"/>
  <c r="N169" i="3"/>
  <c r="N127" i="3"/>
  <c r="N19" i="3"/>
  <c r="M3" i="3"/>
  <c r="M173" i="3"/>
  <c r="M125" i="3"/>
  <c r="M77" i="3"/>
  <c r="M29" i="3"/>
  <c r="O36" i="3"/>
  <c r="M217" i="3"/>
  <c r="M205" i="3"/>
  <c r="M193" i="3"/>
  <c r="M181" i="3"/>
  <c r="M169" i="3"/>
  <c r="M157" i="3"/>
  <c r="M145" i="3"/>
  <c r="M133" i="3"/>
  <c r="M121" i="3"/>
  <c r="M109" i="3"/>
  <c r="M97" i="3"/>
  <c r="M85" i="3"/>
  <c r="M73" i="3"/>
  <c r="M61" i="3"/>
  <c r="M49" i="3"/>
  <c r="M37" i="3"/>
  <c r="M25" i="3"/>
  <c r="M13" i="3"/>
  <c r="O220" i="3"/>
  <c r="O214" i="3"/>
  <c r="O208" i="3"/>
  <c r="O202" i="3"/>
  <c r="O196" i="3"/>
  <c r="O190" i="3"/>
  <c r="O184" i="3"/>
  <c r="O178" i="3"/>
  <c r="O172" i="3"/>
  <c r="O166" i="3"/>
  <c r="O160" i="3"/>
  <c r="O154" i="3"/>
  <c r="O148" i="3"/>
  <c r="O142" i="3"/>
  <c r="O136" i="3"/>
  <c r="O130" i="3"/>
  <c r="O124" i="3"/>
  <c r="O118" i="3"/>
  <c r="O112" i="3"/>
  <c r="O106" i="3"/>
  <c r="O100" i="3"/>
  <c r="O94" i="3"/>
  <c r="O88" i="3"/>
  <c r="O82" i="3"/>
  <c r="O76" i="3"/>
  <c r="O70" i="3"/>
  <c r="O64" i="3"/>
  <c r="O58" i="3"/>
  <c r="O52" i="3"/>
  <c r="O46" i="3"/>
  <c r="O40" i="3"/>
  <c r="O34" i="3"/>
  <c r="O28" i="3"/>
  <c r="O22" i="3"/>
  <c r="O16" i="3"/>
  <c r="O10" i="3"/>
  <c r="O4" i="3"/>
  <c r="O210" i="3"/>
  <c r="O204" i="3"/>
  <c r="O198" i="3"/>
  <c r="O192" i="3"/>
  <c r="O186" i="3"/>
  <c r="O180" i="3"/>
  <c r="O174" i="3"/>
  <c r="O168" i="3"/>
  <c r="O162" i="3"/>
  <c r="O156" i="3"/>
  <c r="O150" i="3"/>
  <c r="O144" i="3"/>
  <c r="O138" i="3"/>
  <c r="O132" i="3"/>
  <c r="O126" i="3"/>
  <c r="O120" i="3"/>
  <c r="O114" i="3"/>
  <c r="O108" i="3"/>
  <c r="O102" i="3"/>
  <c r="O96" i="3"/>
  <c r="O90" i="3"/>
  <c r="O84" i="3"/>
  <c r="O78" i="3"/>
  <c r="O72" i="3"/>
  <c r="O66" i="3"/>
  <c r="O60" i="3"/>
  <c r="O54" i="3"/>
  <c r="O48" i="3"/>
  <c r="O42" i="3"/>
  <c r="O12" i="3"/>
  <c r="M216" i="3"/>
  <c r="M204" i="3"/>
  <c r="M192" i="3"/>
  <c r="M180" i="3"/>
  <c r="M168" i="3"/>
  <c r="M156" i="3"/>
  <c r="M144" i="3"/>
  <c r="M132" i="3"/>
  <c r="M120" i="3"/>
  <c r="M108" i="3"/>
  <c r="M96" i="3"/>
  <c r="M84" i="3"/>
  <c r="M72" i="3"/>
  <c r="M60" i="3"/>
  <c r="M48" i="3"/>
  <c r="M36" i="3"/>
  <c r="M24" i="3"/>
  <c r="M12" i="3"/>
  <c r="N220" i="3"/>
  <c r="N214" i="3"/>
  <c r="N208" i="3"/>
  <c r="N202" i="3"/>
  <c r="N196" i="3"/>
  <c r="N190" i="3"/>
  <c r="N184" i="3"/>
  <c r="N178" i="3"/>
  <c r="N172" i="3"/>
  <c r="N166" i="3"/>
  <c r="N160" i="3"/>
  <c r="N154" i="3"/>
  <c r="N148" i="3"/>
  <c r="N142" i="3"/>
  <c r="N136" i="3"/>
  <c r="N130" i="3"/>
  <c r="N124" i="3"/>
  <c r="N118" i="3"/>
  <c r="N112" i="3"/>
  <c r="N106" i="3"/>
  <c r="N100" i="3"/>
  <c r="N94" i="3"/>
  <c r="N88" i="3"/>
  <c r="N82" i="3"/>
  <c r="N76" i="3"/>
  <c r="N70" i="3"/>
  <c r="N64" i="3"/>
  <c r="N58" i="3"/>
  <c r="N52" i="3"/>
  <c r="N46" i="3"/>
  <c r="N40" i="3"/>
  <c r="N34" i="3"/>
  <c r="N28" i="3"/>
  <c r="N22" i="3"/>
  <c r="N16" i="3"/>
  <c r="N10" i="3"/>
  <c r="D57" i="1"/>
  <c r="D81" i="1"/>
  <c r="D224" i="1"/>
  <c r="D218" i="1"/>
  <c r="D212" i="1"/>
  <c r="D206" i="1"/>
  <c r="D202" i="1"/>
  <c r="D196" i="1"/>
  <c r="D190" i="1"/>
  <c r="D184" i="1"/>
  <c r="D178" i="1"/>
  <c r="D172" i="1"/>
  <c r="D166" i="1"/>
  <c r="D160" i="1"/>
  <c r="D154" i="1"/>
  <c r="D150" i="1"/>
  <c r="D144" i="1"/>
  <c r="D138" i="1"/>
  <c r="D132" i="1"/>
  <c r="D126" i="1"/>
  <c r="D120" i="1"/>
  <c r="D114" i="1"/>
  <c r="D108" i="1"/>
  <c r="D102" i="1"/>
  <c r="D98" i="1"/>
  <c r="D92" i="1"/>
  <c r="D86" i="1"/>
  <c r="D80" i="1"/>
  <c r="D74" i="1"/>
  <c r="D68" i="1"/>
  <c r="D62" i="1"/>
  <c r="D56" i="1"/>
  <c r="D225" i="1"/>
  <c r="D213" i="1"/>
  <c r="D203" i="1"/>
  <c r="D191" i="1"/>
  <c r="D179" i="1"/>
  <c r="D167" i="1"/>
  <c r="D155" i="1"/>
  <c r="D139" i="1"/>
  <c r="D69" i="1"/>
  <c r="D219" i="1"/>
  <c r="D207" i="1"/>
  <c r="D197" i="1"/>
  <c r="D185" i="1"/>
  <c r="D173" i="1"/>
  <c r="D161" i="1"/>
  <c r="D145" i="1"/>
  <c r="D133" i="1"/>
  <c r="D127" i="1"/>
  <c r="D121" i="1"/>
  <c r="D115" i="1"/>
  <c r="D75" i="1"/>
  <c r="D223" i="1"/>
  <c r="D217" i="1"/>
  <c r="D211" i="1"/>
  <c r="D201" i="1"/>
  <c r="D195" i="1"/>
  <c r="D189" i="1"/>
  <c r="D183" i="1"/>
  <c r="D177" i="1"/>
  <c r="D171" i="1"/>
  <c r="D165" i="1"/>
  <c r="D159" i="1"/>
  <c r="D153" i="1"/>
  <c r="D149" i="1"/>
  <c r="D143" i="1"/>
  <c r="D137" i="1"/>
  <c r="D131" i="1"/>
  <c r="D125" i="1"/>
  <c r="D119" i="1"/>
  <c r="D113" i="1"/>
  <c r="D107" i="1"/>
  <c r="D101" i="1"/>
  <c r="D97" i="1"/>
  <c r="D91" i="1"/>
  <c r="D85" i="1"/>
  <c r="D79" i="1"/>
  <c r="D73" i="1"/>
  <c r="D67" i="1"/>
  <c r="D61" i="1"/>
  <c r="D55" i="1"/>
  <c r="D63" i="1"/>
  <c r="D87" i="1"/>
  <c r="D222" i="1"/>
  <c r="D216" i="1"/>
  <c r="D210" i="1"/>
  <c r="D200" i="1"/>
  <c r="D194" i="1"/>
  <c r="D188" i="1"/>
  <c r="D182" i="1"/>
  <c r="D176" i="1"/>
  <c r="D170" i="1"/>
  <c r="D164" i="1"/>
  <c r="D158" i="1"/>
  <c r="D152" i="1"/>
  <c r="D148" i="1"/>
  <c r="D142" i="1"/>
  <c r="D136" i="1"/>
  <c r="D130" i="1"/>
  <c r="D124" i="1"/>
  <c r="D118" i="1"/>
  <c r="D112" i="1"/>
  <c r="D106" i="1"/>
  <c r="D96" i="1"/>
  <c r="D90" i="1"/>
  <c r="D84" i="1"/>
  <c r="D78" i="1"/>
  <c r="D72" i="1"/>
  <c r="D66" i="1"/>
  <c r="D60" i="1"/>
  <c r="D54" i="1"/>
  <c r="D109" i="1"/>
  <c r="D103" i="1"/>
  <c r="D221" i="1"/>
  <c r="D215" i="1"/>
  <c r="D209" i="1"/>
  <c r="D205" i="1"/>
  <c r="D199" i="1"/>
  <c r="D193" i="1"/>
  <c r="D187" i="1"/>
  <c r="D181" i="1"/>
  <c r="D175" i="1"/>
  <c r="D169" i="1"/>
  <c r="D163" i="1"/>
  <c r="D157" i="1"/>
  <c r="D151" i="1"/>
  <c r="D147" i="1"/>
  <c r="D141" i="1"/>
  <c r="D135" i="1"/>
  <c r="D129" i="1"/>
  <c r="D123" i="1"/>
  <c r="D117" i="1"/>
  <c r="D111" i="1"/>
  <c r="D105" i="1"/>
  <c r="D95" i="1"/>
  <c r="D89" i="1"/>
  <c r="D83" i="1"/>
  <c r="D77" i="1"/>
  <c r="D71" i="1"/>
  <c r="D65" i="1"/>
  <c r="D59" i="1"/>
  <c r="D99" i="1"/>
  <c r="D93" i="1"/>
  <c r="D226" i="1"/>
  <c r="D220" i="1"/>
  <c r="D214" i="1"/>
  <c r="D208" i="1"/>
  <c r="D204" i="1"/>
  <c r="D198" i="1"/>
  <c r="D192" i="1"/>
  <c r="D186" i="1"/>
  <c r="D180" i="1"/>
  <c r="D174" i="1"/>
  <c r="D168" i="1"/>
  <c r="D162" i="1"/>
  <c r="D156" i="1"/>
  <c r="D146" i="1"/>
  <c r="D140" i="1"/>
  <c r="D134" i="1"/>
  <c r="D128" i="1"/>
  <c r="D122" i="1"/>
  <c r="D116" i="1"/>
  <c r="D110" i="1"/>
  <c r="D104" i="1"/>
  <c r="D100" i="1"/>
  <c r="D94" i="1"/>
  <c r="D88" i="1"/>
  <c r="D82" i="1"/>
  <c r="D76" i="1"/>
  <c r="D70" i="1"/>
  <c r="D64" i="1"/>
  <c r="D58" i="1"/>
  <c r="D50" i="1"/>
  <c r="D44" i="1"/>
  <c r="D38" i="1"/>
  <c r="D32" i="1"/>
  <c r="D26" i="1"/>
  <c r="D20" i="1"/>
  <c r="D14" i="1"/>
  <c r="D8" i="1"/>
  <c r="D30" i="1"/>
  <c r="D42" i="1"/>
  <c r="D49" i="1"/>
  <c r="D43" i="1"/>
  <c r="D37" i="1"/>
  <c r="D31" i="1"/>
  <c r="D25" i="1"/>
  <c r="D19" i="1"/>
  <c r="D13" i="1"/>
  <c r="D7" i="1"/>
  <c r="D48" i="1"/>
  <c r="D6" i="1"/>
  <c r="D12" i="1"/>
  <c r="D18" i="1"/>
  <c r="D53" i="1"/>
  <c r="D47" i="1"/>
  <c r="D41" i="1"/>
  <c r="D35" i="1"/>
  <c r="D29" i="1"/>
  <c r="D23" i="1"/>
  <c r="D17" i="1"/>
  <c r="D11" i="1"/>
  <c r="D5" i="1"/>
  <c r="D36" i="1"/>
  <c r="D52" i="1"/>
  <c r="D46" i="1"/>
  <c r="D40" i="1"/>
  <c r="D34" i="1"/>
  <c r="D28" i="1"/>
  <c r="D22" i="1"/>
  <c r="D16" i="1"/>
  <c r="D10" i="1"/>
  <c r="D4" i="1"/>
  <c r="D24" i="1"/>
  <c r="D51" i="1"/>
  <c r="D45" i="1"/>
  <c r="D39" i="1"/>
  <c r="D33" i="1"/>
  <c r="D27" i="1"/>
  <c r="D21" i="1"/>
  <c r="D15" i="1"/>
  <c r="D9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<sst xmlns="http://schemas.openxmlformats.org/spreadsheetml/2006/main" count="3851" uniqueCount="1257">
  <si>
    <t>Extracted from UNSD Partners National Statistical Office (https://unstats.un.org/home/nso_sites/) on March 12, 2025</t>
  </si>
  <si>
    <t>Identify WBG Country and Country Code (marked rows were included manually)</t>
  </si>
  <si>
    <t>WDI Economies</t>
  </si>
  <si>
    <t>Merged Data</t>
  </si>
  <si>
    <t>IMF Country</t>
  </si>
  <si>
    <t>NSO</t>
  </si>
  <si>
    <t>URL</t>
  </si>
  <si>
    <t>IMF Country (removed empty space from A via Find + Replace)</t>
  </si>
  <si>
    <t>WBG Economy</t>
  </si>
  <si>
    <t>WBG Code</t>
  </si>
  <si>
    <t>Algeria </t>
  </si>
  <si>
    <t> Office national des statistiques</t>
  </si>
  <si>
    <t>http://www.ons.dz/</t>
  </si>
  <si>
    <t>Algeria</t>
  </si>
  <si>
    <t>Afghanistan</t>
  </si>
  <si>
    <t>AFG</t>
  </si>
  <si>
    <t>Angola </t>
  </si>
  <si>
    <t> Instituto Nacional de Estatistica</t>
  </si>
  <si>
    <t>https://www.ine.gov.ao/</t>
  </si>
  <si>
    <t>Angola</t>
  </si>
  <si>
    <t>Albania</t>
  </si>
  <si>
    <t>ALB</t>
  </si>
  <si>
    <t>Benin </t>
  </si>
  <si>
    <t> Institut national de la statistique et de l'analyse economique</t>
  </si>
  <si>
    <t>http://www.insae-bj.org/</t>
  </si>
  <si>
    <t>Benin</t>
  </si>
  <si>
    <t>DZA</t>
  </si>
  <si>
    <t>Botswana </t>
  </si>
  <si>
    <t> Central Statistical Office</t>
  </si>
  <si>
    <t>http://www.cso.gov.bw/</t>
  </si>
  <si>
    <t>Botswana</t>
  </si>
  <si>
    <t>American Samoa</t>
  </si>
  <si>
    <t>ASM</t>
  </si>
  <si>
    <t>Burkina Faso </t>
  </si>
  <si>
    <t> Institut National de la Statistique des et de la Démographie</t>
  </si>
  <si>
    <t>http://www.insd.bf/n/</t>
  </si>
  <si>
    <t>Burkina Faso</t>
  </si>
  <si>
    <t>Andorra</t>
  </si>
  <si>
    <t>AND</t>
  </si>
  <si>
    <t>Burundi </t>
  </si>
  <si>
    <t> Institut de Statistiques et d'etudes Economuques</t>
  </si>
  <si>
    <t>http://www.isteebu.bi/</t>
  </si>
  <si>
    <t>Burundi</t>
  </si>
  <si>
    <t>AGO</t>
  </si>
  <si>
    <t>Cabo Verde </t>
  </si>
  <si>
    <t>http://www.ine.cv/</t>
  </si>
  <si>
    <t>Cabo Verde</t>
  </si>
  <si>
    <t>Antigua and Barbuda</t>
  </si>
  <si>
    <t>ATG</t>
  </si>
  <si>
    <t>Cameroon </t>
  </si>
  <si>
    <t> Institut Nationalde la Statistique</t>
  </si>
  <si>
    <t>http://www.statistics-cameroon.org/</t>
  </si>
  <si>
    <t>Cameroon</t>
  </si>
  <si>
    <t>Argentina</t>
  </si>
  <si>
    <t>ARG</t>
  </si>
  <si>
    <t>Central African Republic </t>
  </si>
  <si>
    <t> Direction Générale de la Statistiques, des Etudes Economiques et Sociales</t>
  </si>
  <si>
    <t>http://www.stat-centrafrique.com/</t>
  </si>
  <si>
    <t>Central African Republic</t>
  </si>
  <si>
    <t>Armenia</t>
  </si>
  <si>
    <t>ARM</t>
  </si>
  <si>
    <t>Chad </t>
  </si>
  <si>
    <t> Institut National de la Statistique des Etudes Economiques et Demographiques</t>
  </si>
  <si>
    <t>http://www.inseed-tchad.org/</t>
  </si>
  <si>
    <t>Chad</t>
  </si>
  <si>
    <t>Aruba</t>
  </si>
  <si>
    <t>ABW</t>
  </si>
  <si>
    <t>Congo </t>
  </si>
  <si>
    <t> Centre National de la Statistique et des Etudes Economiques</t>
  </si>
  <si>
    <t>http://www.cnsee.org/</t>
  </si>
  <si>
    <t>Congo</t>
  </si>
  <si>
    <t>Congo, Rep.</t>
  </si>
  <si>
    <t>COG</t>
  </si>
  <si>
    <t>Australia</t>
  </si>
  <si>
    <t>AUS</t>
  </si>
  <si>
    <t>Cote d’Ivoire </t>
  </si>
  <si>
    <t> Institut National de la Statistique</t>
  </si>
  <si>
    <t>http://www.ins.ci/</t>
  </si>
  <si>
    <t>Cote d’Ivoire</t>
  </si>
  <si>
    <t>Côte d’Ivoire</t>
  </si>
  <si>
    <t>CIV</t>
  </si>
  <si>
    <t>Austria</t>
  </si>
  <si>
    <t>AUT</t>
  </si>
  <si>
    <t>Djibouti </t>
  </si>
  <si>
    <t> Ministère de l'Economie, des Finances et de la Planification, chargé de la Privatisation</t>
  </si>
  <si>
    <t>http://www.ministere-finances.dj/</t>
  </si>
  <si>
    <t>Djibouti</t>
  </si>
  <si>
    <t>Azerbaijan</t>
  </si>
  <si>
    <t>AZE</t>
  </si>
  <si>
    <t>Egypt </t>
  </si>
  <si>
    <t> Central Agency for Public Mobilization and Statistics</t>
  </si>
  <si>
    <t>http://www.capmas.gov.eg/</t>
  </si>
  <si>
    <t>Egypt</t>
  </si>
  <si>
    <t>Egypt, Arab Rep.</t>
  </si>
  <si>
    <t>EGY</t>
  </si>
  <si>
    <t>Bahamas, The</t>
  </si>
  <si>
    <t>BHS</t>
  </si>
  <si>
    <t>Equatorial Guinea </t>
  </si>
  <si>
    <t> Dirección Général de Estadística y Cuentas Nacionales</t>
  </si>
  <si>
    <t>http://www.inege.gq/</t>
  </si>
  <si>
    <t>Equatorial Guinea</t>
  </si>
  <si>
    <t>Bahrain</t>
  </si>
  <si>
    <t>BHR</t>
  </si>
  <si>
    <t>Ethiopia </t>
  </si>
  <si>
    <t> Central Statistical Agency of Ethiopia</t>
  </si>
  <si>
    <t>http://www.csa.gov.et/</t>
  </si>
  <si>
    <t>Ethiopia</t>
  </si>
  <si>
    <t>Bangladesh</t>
  </si>
  <si>
    <t>BGD</t>
  </si>
  <si>
    <t>Gabon </t>
  </si>
  <si>
    <t> Direction Générale des Statistiques</t>
  </si>
  <si>
    <t>http://www.stat-gabon.org/</t>
  </si>
  <si>
    <t>Gabon</t>
  </si>
  <si>
    <t>Barbados</t>
  </si>
  <si>
    <t>BRB</t>
  </si>
  <si>
    <t>Gambia </t>
  </si>
  <si>
    <t> Gambia Bureau of Statistics</t>
  </si>
  <si>
    <t>http://www.gbos.gm/</t>
  </si>
  <si>
    <t>Gambia</t>
  </si>
  <si>
    <t>Gambia, The</t>
  </si>
  <si>
    <t>GMB</t>
  </si>
  <si>
    <t>Belarus</t>
  </si>
  <si>
    <t>BLR</t>
  </si>
  <si>
    <t>Ghana</t>
  </si>
  <si>
    <t> Ghana Statistical Services</t>
  </si>
  <si>
    <t>http://www.statsghana.gov.gh/</t>
  </si>
  <si>
    <t>Belgium</t>
  </si>
  <si>
    <t>BEL</t>
  </si>
  <si>
    <t>Guinea </t>
  </si>
  <si>
    <t> Direction Nationale de la Statistique</t>
  </si>
  <si>
    <t>http://www.stat-guinee.org/</t>
  </si>
  <si>
    <t>Guinea</t>
  </si>
  <si>
    <t>Belize</t>
  </si>
  <si>
    <t>BLZ</t>
  </si>
  <si>
    <t>Guinea-Bissau </t>
  </si>
  <si>
    <t> Instituto Nacional de Estatística e Censos</t>
  </si>
  <si>
    <t>http://www.stat-guinebissau.com/</t>
  </si>
  <si>
    <t>Guinea-Bissau</t>
  </si>
  <si>
    <t>BEN</t>
  </si>
  <si>
    <t>Kenya</t>
  </si>
  <si>
    <t> National Bureau of Statistics</t>
  </si>
  <si>
    <t>http://www.knbs.or.ke/</t>
  </si>
  <si>
    <t>Bermuda</t>
  </si>
  <si>
    <t>BMU</t>
  </si>
  <si>
    <t>Lesotho </t>
  </si>
  <si>
    <t> Lesotho Bureau of Statistics</t>
  </si>
  <si>
    <t>http://www.bos.gov.ls/</t>
  </si>
  <si>
    <t>Lesotho</t>
  </si>
  <si>
    <t>Bhutan</t>
  </si>
  <si>
    <t>BTN</t>
  </si>
  <si>
    <t>Liberia </t>
  </si>
  <si>
    <t> Liberia Institute of Statistics &amp; Geo-Information Services</t>
  </si>
  <si>
    <t>http://www.tlcafrica.com/lisgis/lisgis.htm</t>
  </si>
  <si>
    <t>Liberia</t>
  </si>
  <si>
    <t>Bolivia</t>
  </si>
  <si>
    <t>BOL</t>
  </si>
  <si>
    <t>Libya</t>
  </si>
  <si>
    <t> Bureau of Statistics and Census Libya</t>
  </si>
  <si>
    <t>http://www.bsc.ly/</t>
  </si>
  <si>
    <t>Bosnia and Herzegovina</t>
  </si>
  <si>
    <t>BIH</t>
  </si>
  <si>
    <t>Madagascar </t>
  </si>
  <si>
    <t>http://www.instat.mg/</t>
  </si>
  <si>
    <t>Madagascar</t>
  </si>
  <si>
    <t>BWA</t>
  </si>
  <si>
    <t>Malawi </t>
  </si>
  <si>
    <t> National Statistical Office of Malawi</t>
  </si>
  <si>
    <t>http://www.nsomalawi.mw/</t>
  </si>
  <si>
    <t>Malawi</t>
  </si>
  <si>
    <t>Brazil</t>
  </si>
  <si>
    <t>BRA</t>
  </si>
  <si>
    <t>Mali </t>
  </si>
  <si>
    <t> l’Institut National de la Statistique</t>
  </si>
  <si>
    <t>http://www.instat-mali.org/</t>
  </si>
  <si>
    <t>Mali</t>
  </si>
  <si>
    <t>British Virgin Islands</t>
  </si>
  <si>
    <t>VGB</t>
  </si>
  <si>
    <t>Mauritania </t>
  </si>
  <si>
    <t> Office National de la Statistique</t>
  </si>
  <si>
    <t>http://www.ons.mr/</t>
  </si>
  <si>
    <t>Mauritania</t>
  </si>
  <si>
    <t>Brunei Darussalam</t>
  </si>
  <si>
    <t>BRN</t>
  </si>
  <si>
    <t>Mauritius </t>
  </si>
  <si>
    <t> Statistics Mauritius Office</t>
  </si>
  <si>
    <t>http://statsmauritius.govmu.org/English/Pages/default.aspx</t>
  </si>
  <si>
    <t>Mauritius</t>
  </si>
  <si>
    <t>Bulgaria</t>
  </si>
  <si>
    <t>BGR</t>
  </si>
  <si>
    <t>Morocco </t>
  </si>
  <si>
    <t> Direction de la Statistique</t>
  </si>
  <si>
    <t>http://www.hcp.ma/</t>
  </si>
  <si>
    <t>Morocco</t>
  </si>
  <si>
    <t>BFA</t>
  </si>
  <si>
    <t>Mozambique </t>
  </si>
  <si>
    <t>http://www.ine.gov.mz/</t>
  </si>
  <si>
    <t>Mozambique</t>
  </si>
  <si>
    <t>BDI</t>
  </si>
  <si>
    <t>Namibia </t>
  </si>
  <si>
    <t> Central Bureau of Statistics</t>
  </si>
  <si>
    <t>http://www.npc.gov.na/cbs/index.htm</t>
  </si>
  <si>
    <t>Namibia</t>
  </si>
  <si>
    <t>CPV</t>
  </si>
  <si>
    <t>Niger </t>
  </si>
  <si>
    <t>http://www.stat-niger.org/</t>
  </si>
  <si>
    <t>Niger</t>
  </si>
  <si>
    <t>Cambodia</t>
  </si>
  <si>
    <t>KHM</t>
  </si>
  <si>
    <t>Nigeria </t>
  </si>
  <si>
    <t>http://www.nigerianstat.gov.ng/</t>
  </si>
  <si>
    <t>Nigeria</t>
  </si>
  <si>
    <t>CMR</t>
  </si>
  <si>
    <t>Rwanda </t>
  </si>
  <si>
    <t> National Institute of Statistics of Rwanda</t>
  </si>
  <si>
    <t>http://www.statistics.gov.rw/</t>
  </si>
  <si>
    <t>Rwanda</t>
  </si>
  <si>
    <t>Canada</t>
  </si>
  <si>
    <t>CAN</t>
  </si>
  <si>
    <t>Sao Tome and Principe </t>
  </si>
  <si>
    <t> Instituto Nacional de Estatisticas</t>
  </si>
  <si>
    <t>http://www.ine.st/</t>
  </si>
  <si>
    <t>Sao Tome and Principe</t>
  </si>
  <si>
    <t>São Tomé and Príncipe</t>
  </si>
  <si>
    <t>STP</t>
  </si>
  <si>
    <t>Cayman Islands</t>
  </si>
  <si>
    <t>CYM</t>
  </si>
  <si>
    <t>Senegal </t>
  </si>
  <si>
    <t> Agence Nationale de la Statistique de la Demographie</t>
  </si>
  <si>
    <t>http://www.ansd.sn/</t>
  </si>
  <si>
    <t>Senegal</t>
  </si>
  <si>
    <t>CAF</t>
  </si>
  <si>
    <t>Seychelles </t>
  </si>
  <si>
    <t>http://www.nsb.gov.sc/</t>
  </si>
  <si>
    <t>Seychelles</t>
  </si>
  <si>
    <t>TCD</t>
  </si>
  <si>
    <t>Sierra Leone </t>
  </si>
  <si>
    <t> Statistics Sierra Leone</t>
  </si>
  <si>
    <t>http://www.statistics.sl/</t>
  </si>
  <si>
    <t>Sierra Leone</t>
  </si>
  <si>
    <t>Channel Islands</t>
  </si>
  <si>
    <t>CHI</t>
  </si>
  <si>
    <t>South Africa </t>
  </si>
  <si>
    <t> Statistics South Africa</t>
  </si>
  <si>
    <t>http://www.statssa.gov.za/</t>
  </si>
  <si>
    <t>South Africa</t>
  </si>
  <si>
    <t>Chile</t>
  </si>
  <si>
    <t>CHL</t>
  </si>
  <si>
    <t>South Sudan </t>
  </si>
  <si>
    <t>http://ssnbs.org/</t>
  </si>
  <si>
    <t>South Sudan</t>
  </si>
  <si>
    <t>China</t>
  </si>
  <si>
    <t>CHN</t>
  </si>
  <si>
    <t>Saint Helena </t>
  </si>
  <si>
    <t> Statisitics</t>
  </si>
  <si>
    <t>http://www.sainthelena.gov.sh/statistics/</t>
  </si>
  <si>
    <t>Saint Helena</t>
  </si>
  <si>
    <t>Colombia</t>
  </si>
  <si>
    <t>COL</t>
  </si>
  <si>
    <t>Sudan </t>
  </si>
  <si>
    <t>http://www.cbs.gov.sd/</t>
  </si>
  <si>
    <t>Sudan</t>
  </si>
  <si>
    <t>Comoros</t>
  </si>
  <si>
    <t>COM</t>
  </si>
  <si>
    <t>Swaziland </t>
  </si>
  <si>
    <t>http://www.swazistats.org.sz/</t>
  </si>
  <si>
    <t>Swaziland</t>
  </si>
  <si>
    <t>Eswatini</t>
  </si>
  <si>
    <t>SWZ</t>
  </si>
  <si>
    <t>Congo, Dem. Rep.</t>
  </si>
  <si>
    <t>COD</t>
  </si>
  <si>
    <t>Togo </t>
  </si>
  <si>
    <t> Direction Generale de la Statistique et de la Comptabilite Nationale</t>
  </si>
  <si>
    <t>http://www.stat-togo.org/</t>
  </si>
  <si>
    <t>Togo</t>
  </si>
  <si>
    <t>Tunisia </t>
  </si>
  <si>
    <t> Institut national de la statistique</t>
  </si>
  <si>
    <t>http://www.ins.nat.tn/</t>
  </si>
  <si>
    <t>Tunisia</t>
  </si>
  <si>
    <t>Costa Rica</t>
  </si>
  <si>
    <t>CRI</t>
  </si>
  <si>
    <t>Uganda </t>
  </si>
  <si>
    <t> Uganda Bureau of Statistics</t>
  </si>
  <si>
    <t>http://www.ubos.org/</t>
  </si>
  <si>
    <t>Uganda</t>
  </si>
  <si>
    <t>United Republic of Tanzania </t>
  </si>
  <si>
    <t>http://www.nbs.go.tz/</t>
  </si>
  <si>
    <t>United Republic of Tanzania</t>
  </si>
  <si>
    <t>Tanzania</t>
  </si>
  <si>
    <t>TZA</t>
  </si>
  <si>
    <t>Croatia</t>
  </si>
  <si>
    <t>HRV</t>
  </si>
  <si>
    <t>Zambia </t>
  </si>
  <si>
    <t> Central Statistical Office of Zambia</t>
  </si>
  <si>
    <t>http://www.zamstats.gov.zm/</t>
  </si>
  <si>
    <t>Zambia</t>
  </si>
  <si>
    <t>Cuba</t>
  </si>
  <si>
    <t>CUB</t>
  </si>
  <si>
    <t>Zimbabwe </t>
  </si>
  <si>
    <t> ZIMSTAT</t>
  </si>
  <si>
    <t>http://www.zimstat.co.zw/</t>
  </si>
  <si>
    <t>Zimbabwe</t>
  </si>
  <si>
    <t>Curaçao</t>
  </si>
  <si>
    <t>CUW</t>
  </si>
  <si>
    <t>Anguilla</t>
  </si>
  <si>
    <t> Statistics Department</t>
  </si>
  <si>
    <t>http://www.gov.ai/statistics/</t>
  </si>
  <si>
    <t>Cyprus</t>
  </si>
  <si>
    <t>CYP</t>
  </si>
  <si>
    <t> Instituto Nacional de Estadística y Censos</t>
  </si>
  <si>
    <t>https://www.indec.gob.ar/</t>
  </si>
  <si>
    <t>Czechia</t>
  </si>
  <si>
    <t>CZE</t>
  </si>
  <si>
    <t>http://www.cbs.aw/</t>
  </si>
  <si>
    <t>Denmark</t>
  </si>
  <si>
    <t>DNK</t>
  </si>
  <si>
    <t>Bahamas</t>
  </si>
  <si>
    <t> Department of Statistics</t>
  </si>
  <si>
    <t>http://statistics.bahamas.gov.bs/</t>
  </si>
  <si>
    <t>DJI</t>
  </si>
  <si>
    <t> Barbados Statistical Service</t>
  </si>
  <si>
    <t>http://www.barstats.gov.bb/</t>
  </si>
  <si>
    <t>Dominica</t>
  </si>
  <si>
    <t>DMA</t>
  </si>
  <si>
    <t> Statistical Institute of Belize</t>
  </si>
  <si>
    <t>http://sib.org.bz/</t>
  </si>
  <si>
    <t>Dominican Republic</t>
  </si>
  <si>
    <t>DOM</t>
  </si>
  <si>
    <t>http://www.seaexpress.bm/portal/server.pt?open=512&amp;objID=227&amp;mode=2&amp;in_hi_userid=2&amp;cached=true</t>
  </si>
  <si>
    <t>Ecuador</t>
  </si>
  <si>
    <t>ECU</t>
  </si>
  <si>
    <t> Instituto Nacional de Estadística</t>
  </si>
  <si>
    <t>http://www.ine.gob.bo/</t>
  </si>
  <si>
    <t> Instituto Brasileiro de Geografia e Estatística (IBGE)</t>
  </si>
  <si>
    <t>http://www.ibge.gov.br/</t>
  </si>
  <si>
    <t>El Salvador</t>
  </si>
  <si>
    <t>SLV</t>
  </si>
  <si>
    <t> Statistics Canada</t>
  </si>
  <si>
    <t>http://www.statcan.gc.ca/</t>
  </si>
  <si>
    <t>GNQ</t>
  </si>
  <si>
    <t>Cayman Islands </t>
  </si>
  <si>
    <t> Economics and Statistics Office</t>
  </si>
  <si>
    <t>http://www.eso.ky/</t>
  </si>
  <si>
    <t>Eritrea</t>
  </si>
  <si>
    <t>ERI</t>
  </si>
  <si>
    <t> Instituto Nacional de Estadísticas</t>
  </si>
  <si>
    <t>http://www.ine.cl/</t>
  </si>
  <si>
    <t>Estonia</t>
  </si>
  <si>
    <t>EST</t>
  </si>
  <si>
    <t> Departamento Administrativo Nacional de Estadística (DANE)</t>
  </si>
  <si>
    <t>http://www.dane.gov.co/</t>
  </si>
  <si>
    <t>http://www.inec.go.cr/</t>
  </si>
  <si>
    <t>ETH</t>
  </si>
  <si>
    <t> Oficina Nacional de Estadísticas</t>
  </si>
  <si>
    <t>http://www.one.cu/</t>
  </si>
  <si>
    <t>Faroe Islands</t>
  </si>
  <si>
    <t>FRO</t>
  </si>
  <si>
    <t>http://www.cbs.cw/</t>
  </si>
  <si>
    <t>Fiji</t>
  </si>
  <si>
    <t>FJI</t>
  </si>
  <si>
    <t> Oficina Nacional de Estadística</t>
  </si>
  <si>
    <t>http://www.one.gob.do/</t>
  </si>
  <si>
    <t>Finland</t>
  </si>
  <si>
    <t>FIN</t>
  </si>
  <si>
    <t> Instituto Nacional de Estadisticas y Censos</t>
  </si>
  <si>
    <t>http://www.ecuadorencifras.gob.ec/</t>
  </si>
  <si>
    <t>France</t>
  </si>
  <si>
    <t>FRA</t>
  </si>
  <si>
    <t> Dirección General de Estadística y Censos</t>
  </si>
  <si>
    <t>http://www.digestyc.gob.sv/</t>
  </si>
  <si>
    <t>French Polynesia</t>
  </si>
  <si>
    <t>PYF</t>
  </si>
  <si>
    <t>Guatemala</t>
  </si>
  <si>
    <t>http://www.ine.gob.gt/</t>
  </si>
  <si>
    <t>GAB</t>
  </si>
  <si>
    <t>Guyana</t>
  </si>
  <si>
    <t> Bureau of Statistics</t>
  </si>
  <si>
    <t>http://www.statisticsguyana.gov.gy/</t>
  </si>
  <si>
    <t>Haiti</t>
  </si>
  <si>
    <t> Institut Haïtien de Statistique  et d’Informatique</t>
  </si>
  <si>
    <t>http://www.ihsi.ht/</t>
  </si>
  <si>
    <t>Georgia</t>
  </si>
  <si>
    <t>GEO</t>
  </si>
  <si>
    <t>Honduras</t>
  </si>
  <si>
    <t> Instituto Nacional de Estadisticas</t>
  </si>
  <si>
    <t>https://www.ine.gob.hn/V3/</t>
  </si>
  <si>
    <t>Germany</t>
  </si>
  <si>
    <t>DEU</t>
  </si>
  <si>
    <t>Jamaica</t>
  </si>
  <si>
    <t> Statistical Institute of Jamaica</t>
  </si>
  <si>
    <t>http://www.statinja.gov.jm/</t>
  </si>
  <si>
    <t>GHA</t>
  </si>
  <si>
    <t>Mexico</t>
  </si>
  <si>
    <t> Instituto Nacional de Estadística, Geografía (INEGI)</t>
  </si>
  <si>
    <t>http://www.inegi.org.mx/</t>
  </si>
  <si>
    <t>Gibraltar</t>
  </si>
  <si>
    <t>GIB</t>
  </si>
  <si>
    <t>Nicaragua</t>
  </si>
  <si>
    <t> Instituto Nacional de InformaciÃ³n de Desarrollo (INIDE)</t>
  </si>
  <si>
    <t>http://www.inide.gob.ni/</t>
  </si>
  <si>
    <t>Greece</t>
  </si>
  <si>
    <t>GRC</t>
  </si>
  <si>
    <t>Panama</t>
  </si>
  <si>
    <t> Dirección Nacional de Estadística y Censo</t>
  </si>
  <si>
    <t>http://www.contraloria.gob.pa/inec/</t>
  </si>
  <si>
    <t>Greenland</t>
  </si>
  <si>
    <t>GRL</t>
  </si>
  <si>
    <t>Paraguay</t>
  </si>
  <si>
    <t> Dirección General de Estadìstica, Encuestas y Censos</t>
  </si>
  <si>
    <t>http://www.dgeec.gov.py/</t>
  </si>
  <si>
    <t>Grenada</t>
  </si>
  <si>
    <t>GRD</t>
  </si>
  <si>
    <t>Peru</t>
  </si>
  <si>
    <t> Instituto Nacional de Estadística e Informática (INEI)</t>
  </si>
  <si>
    <t>http://www.inei.gob.pe/</t>
  </si>
  <si>
    <t>Guam</t>
  </si>
  <si>
    <t>GUM</t>
  </si>
  <si>
    <t>Saint Lucia</t>
  </si>
  <si>
    <t> Saint Lucian Government Statistics Department</t>
  </si>
  <si>
    <t>http://www.stats.gov.lc/</t>
  </si>
  <si>
    <t>St. Lucia</t>
  </si>
  <si>
    <t>LCA</t>
  </si>
  <si>
    <t>GTM</t>
  </si>
  <si>
    <t>Saint Martin</t>
  </si>
  <si>
    <t>http://www.sintmaartengov.org/Government/Ministry of Tourism Economic Affairs Transport and Telecommunication/stat/Pages/Statistics.aspx</t>
  </si>
  <si>
    <t>St. Martin (French part)</t>
  </si>
  <si>
    <t>MAF</t>
  </si>
  <si>
    <t>GIN</t>
  </si>
  <si>
    <t>Suriname</t>
  </si>
  <si>
    <t> General Bureau of Statistics</t>
  </si>
  <si>
    <t>http://www.statistics-suriname.org/</t>
  </si>
  <si>
    <t>GNB</t>
  </si>
  <si>
    <t>Trinidad and Tobago</t>
  </si>
  <si>
    <t>http://www.cso.gov.tt/</t>
  </si>
  <si>
    <t>GUY</t>
  </si>
  <si>
    <t>Turks and Caicos Islands </t>
  </si>
  <si>
    <t> Department of Economic Planning and Statistics</t>
  </si>
  <si>
    <t>http://www.depstc.org/</t>
  </si>
  <si>
    <t>Turks and Caicos Islands</t>
  </si>
  <si>
    <t>HTI</t>
  </si>
  <si>
    <t>Uruguay</t>
  </si>
  <si>
    <t>http://www.ine.gub.uy/</t>
  </si>
  <si>
    <t>HND</t>
  </si>
  <si>
    <t>United States</t>
  </si>
  <si>
    <t> Fedstats</t>
  </si>
  <si>
    <t>https://fedstats.sites.usa.gov/</t>
  </si>
  <si>
    <t>Hong Kong SAR, China</t>
  </si>
  <si>
    <t>HKG</t>
  </si>
  <si>
    <t> Bureau of the Census</t>
  </si>
  <si>
    <t>http://www.census.gov/</t>
  </si>
  <si>
    <t>Hungary</t>
  </si>
  <si>
    <t>HUN</t>
  </si>
  <si>
    <t> Bureau of Economic Analysis</t>
  </si>
  <si>
    <t>http://www.bea.gov/</t>
  </si>
  <si>
    <t>Iceland</t>
  </si>
  <si>
    <t>ISL</t>
  </si>
  <si>
    <t> Bureau of JusticeStatistics</t>
  </si>
  <si>
    <t>http://www.ojp.usdoj.gov/bjs/</t>
  </si>
  <si>
    <t>India</t>
  </si>
  <si>
    <t>IND</t>
  </si>
  <si>
    <t> Bureau of Labor Statistics</t>
  </si>
  <si>
    <t>http://stats.bls.gov/</t>
  </si>
  <si>
    <t>Indonesia</t>
  </si>
  <si>
    <t>IDN</t>
  </si>
  <si>
    <t> Bureau of Transportation Statistics</t>
  </si>
  <si>
    <t>http://www.bts.gov/</t>
  </si>
  <si>
    <t>Iran, Islamic Rep.</t>
  </si>
  <si>
    <t>IRN</t>
  </si>
  <si>
    <t> Department of Commerce (STAT-USA)</t>
  </si>
  <si>
    <t>http://www.publicadministration.net/resources/a-historical-look-at-the-stat-usa-project/</t>
  </si>
  <si>
    <t>Iraq</t>
  </si>
  <si>
    <t>IRQ</t>
  </si>
  <si>
    <t> Office of Energy Statistics</t>
  </si>
  <si>
    <t>http://www.eia.doe.gov/</t>
  </si>
  <si>
    <t>Ireland</t>
  </si>
  <si>
    <t>IRL</t>
  </si>
  <si>
    <t> National Center for Health Statistics</t>
  </si>
  <si>
    <t>http://www.cdc.gov/nchswww/</t>
  </si>
  <si>
    <t>Isle of Man</t>
  </si>
  <si>
    <t>IMN</t>
  </si>
  <si>
    <t> The National Center for Education Statistics</t>
  </si>
  <si>
    <t>http://www.ed.gov/NCES/</t>
  </si>
  <si>
    <t>Israel</t>
  </si>
  <si>
    <t>ISR</t>
  </si>
  <si>
    <t> United States Department of Agriculture, Economic Research Service</t>
  </si>
  <si>
    <t>http://www.ers.usda.gov/</t>
  </si>
  <si>
    <t>Italy</t>
  </si>
  <si>
    <t>ITA</t>
  </si>
  <si>
    <t>Venezuela</t>
  </si>
  <si>
    <t>http://www.ine.gov.ve/</t>
  </si>
  <si>
    <t>Venezuela, RB</t>
  </si>
  <si>
    <t>VEN</t>
  </si>
  <si>
    <t>JAM</t>
  </si>
  <si>
    <t>Armenia </t>
  </si>
  <si>
    <t> NationalStatistical Service of the Republic of Armenia</t>
  </si>
  <si>
    <t>http://www.armstat.am/</t>
  </si>
  <si>
    <t>Japan</t>
  </si>
  <si>
    <t>JPN</t>
  </si>
  <si>
    <t>Azerbaijan </t>
  </si>
  <si>
    <t> State Statistical Committee of Azerbaijan Republic</t>
  </si>
  <si>
    <t>https://www.stat.gov.az/?lang=en</t>
  </si>
  <si>
    <t>Jordan</t>
  </si>
  <si>
    <t>JOR</t>
  </si>
  <si>
    <t>Bahrain </t>
  </si>
  <si>
    <t> Central Informatics Organisation - Statistics</t>
  </si>
  <si>
    <t>http://www.cio.gov.bh/</t>
  </si>
  <si>
    <t>Kazakhstan</t>
  </si>
  <si>
    <t>KAZ</t>
  </si>
  <si>
    <t>Bangladesh </t>
  </si>
  <si>
    <t>http://www.bbs.gov.bd/</t>
  </si>
  <si>
    <t>KEN</t>
  </si>
  <si>
    <t>Bhutan </t>
  </si>
  <si>
    <t> National Statistics Bureau</t>
  </si>
  <si>
    <t>http://www.nsb.gov.bt/</t>
  </si>
  <si>
    <t>Kiribati</t>
  </si>
  <si>
    <t>KIR</t>
  </si>
  <si>
    <t>Brunei Darussalam </t>
  </si>
  <si>
    <t> Statistics- Department of Economic Planning and Development</t>
  </si>
  <si>
    <t>http://www.depd.gov.bn/dept_dos.html</t>
  </si>
  <si>
    <t>Korea, Dem. People's Rep.</t>
  </si>
  <si>
    <t>PRK</t>
  </si>
  <si>
    <t>Cambodia </t>
  </si>
  <si>
    <t> National Institute of Statistics</t>
  </si>
  <si>
    <t>http://www.nis.gov.kh/</t>
  </si>
  <si>
    <t>Korea, Rep.</t>
  </si>
  <si>
    <t>KOR</t>
  </si>
  <si>
    <t>China </t>
  </si>
  <si>
    <t> National Bureau of Statistics of China</t>
  </si>
  <si>
    <t>http://www.stats.gov.cn/</t>
  </si>
  <si>
    <t>Kosovo</t>
  </si>
  <si>
    <t>XKX</t>
  </si>
  <si>
    <t>China, Hong Kong SAR </t>
  </si>
  <si>
    <t> Census and Statistics Department</t>
  </si>
  <si>
    <t>http://www.censtatd.gov.hk/</t>
  </si>
  <si>
    <t>China, Hong Kong SAR</t>
  </si>
  <si>
    <t>Kuwait</t>
  </si>
  <si>
    <t>KWT</t>
  </si>
  <si>
    <t>China, Macao SAR </t>
  </si>
  <si>
    <t> Statistics and Census Service</t>
  </si>
  <si>
    <t>http://www.dsec.gov.mo/</t>
  </si>
  <si>
    <t>China, Macao SAR</t>
  </si>
  <si>
    <t>Macao SAR, China</t>
  </si>
  <si>
    <t>MAC</t>
  </si>
  <si>
    <t>Kyrgyz Republic</t>
  </si>
  <si>
    <t>KGZ</t>
  </si>
  <si>
    <t>Cyprus </t>
  </si>
  <si>
    <t> Statistical Service of the Republica of Cyprus</t>
  </si>
  <si>
    <t>http://www.mof.gov.cy/mof/cystat/statistics.nsf</t>
  </si>
  <si>
    <t>Lao PDR</t>
  </si>
  <si>
    <t>LAO</t>
  </si>
  <si>
    <t>Georgia </t>
  </si>
  <si>
    <t> National Statistics Office of Georgia</t>
  </si>
  <si>
    <t>http://www.geostat.ge/index.php?lang=eng</t>
  </si>
  <si>
    <t>Latvia</t>
  </si>
  <si>
    <t>LVA</t>
  </si>
  <si>
    <t>India </t>
  </si>
  <si>
    <t> Ministry of Statistcs and Programme Implementation</t>
  </si>
  <si>
    <t>http://www.mospi.gov.in/</t>
  </si>
  <si>
    <t>Lebanon</t>
  </si>
  <si>
    <t>LBN</t>
  </si>
  <si>
    <t>Indonesia </t>
  </si>
  <si>
    <t> BPS- Statistics Indonesia</t>
  </si>
  <si>
    <t>http://www.bps.go.id/</t>
  </si>
  <si>
    <t>LSO</t>
  </si>
  <si>
    <t>Iran </t>
  </si>
  <si>
    <t> Statistical Centre of Iran</t>
  </si>
  <si>
    <t>http://www.amar.org.ir/</t>
  </si>
  <si>
    <t>Iran</t>
  </si>
  <si>
    <t>LBR</t>
  </si>
  <si>
    <t>Iraq </t>
  </si>
  <si>
    <t> Central Organization for Statistics and Information Technology (COSIT)</t>
  </si>
  <si>
    <t>http://cosit.gov.iq/english/index.php</t>
  </si>
  <si>
    <t>LBY</t>
  </si>
  <si>
    <t>Israel </t>
  </si>
  <si>
    <t>http://www.cbs.gov.il/</t>
  </si>
  <si>
    <t>Liechtenstein</t>
  </si>
  <si>
    <t>LIE</t>
  </si>
  <si>
    <t> Office of Director-General for Policy Planning (Statistical Standards)</t>
  </si>
  <si>
    <t>http://www.soumu.go.jp/english/dgpp_ss/seido/guide/2011ver/07.htm</t>
  </si>
  <si>
    <t>Lithuania</t>
  </si>
  <si>
    <t>LTU</t>
  </si>
  <si>
    <t> Statistics Bureau</t>
  </si>
  <si>
    <t>http://www.stat.go.jp/</t>
  </si>
  <si>
    <t>Luxembourg</t>
  </si>
  <si>
    <t>LUX</t>
  </si>
  <si>
    <t>Jordan </t>
  </si>
  <si>
    <t>http://www.dos.gov.jo/</t>
  </si>
  <si>
    <t>Kazakhstan </t>
  </si>
  <si>
    <t> Statistical Office</t>
  </si>
  <si>
    <t>http://www.stat.gov.kz/</t>
  </si>
  <si>
    <t>MDG</t>
  </si>
  <si>
    <t>Kyrgyzstan </t>
  </si>
  <si>
    <t> National Statistical Committee of Kyrgyz Republic</t>
  </si>
  <si>
    <t>http://www.stat.kg/</t>
  </si>
  <si>
    <t>Kyrgyzstan</t>
  </si>
  <si>
    <t>MWI</t>
  </si>
  <si>
    <t>Korea, Republic of </t>
  </si>
  <si>
    <t> Statistcs Korea</t>
  </si>
  <si>
    <t>http://kostat.go.kr/</t>
  </si>
  <si>
    <t>Korea, Republic of</t>
  </si>
  <si>
    <t>Malaysia</t>
  </si>
  <si>
    <t>MYS</t>
  </si>
  <si>
    <t>Kuwait </t>
  </si>
  <si>
    <t>http://www.csb.gov.kw/Default_EN.aspx</t>
  </si>
  <si>
    <t>Maldives</t>
  </si>
  <si>
    <t>MDV</t>
  </si>
  <si>
    <t>Lao People's Democratic Republic </t>
  </si>
  <si>
    <t> Lao Statistics Bureau</t>
  </si>
  <si>
    <t>http://www.lsb.gov.la/</t>
  </si>
  <si>
    <t>Lao People's Democratic Republic</t>
  </si>
  <si>
    <t>MLI</t>
  </si>
  <si>
    <t>Lebanon </t>
  </si>
  <si>
    <t> Central Administration for Statistics</t>
  </si>
  <si>
    <t>http://www.cas.gov.lb/</t>
  </si>
  <si>
    <t>Malta</t>
  </si>
  <si>
    <t>MLT</t>
  </si>
  <si>
    <t>Malaysia </t>
  </si>
  <si>
    <t> Department of Statistics Malaysia</t>
  </si>
  <si>
    <t>https://www.dosm.gov.my/v1/</t>
  </si>
  <si>
    <t>Marshall Islands</t>
  </si>
  <si>
    <t>MHL</t>
  </si>
  <si>
    <t>Maldives </t>
  </si>
  <si>
    <t> Department of National Planning</t>
  </si>
  <si>
    <t>http://www.planning.gov.mv/</t>
  </si>
  <si>
    <t>MRT</t>
  </si>
  <si>
    <t>Mongolia </t>
  </si>
  <si>
    <t> National Statistical Office</t>
  </si>
  <si>
    <t>http://www.nso.mn/</t>
  </si>
  <si>
    <t>Mongolia</t>
  </si>
  <si>
    <t>MUS</t>
  </si>
  <si>
    <t>Myanmar </t>
  </si>
  <si>
    <t> Central Statistical Organization</t>
  </si>
  <si>
    <t>http://www.csostat.gov.mm/</t>
  </si>
  <si>
    <t>Myanmar</t>
  </si>
  <si>
    <t>MEX</t>
  </si>
  <si>
    <t>Nepal </t>
  </si>
  <si>
    <t>http://www.cbs.gov.np/</t>
  </si>
  <si>
    <t>Nepal</t>
  </si>
  <si>
    <t>Micronesia, Fed. Sts.</t>
  </si>
  <si>
    <t>FSM</t>
  </si>
  <si>
    <t>Oman </t>
  </si>
  <si>
    <t> National Center for Statistics &amp; Information</t>
  </si>
  <si>
    <t>http://www.ncsi.gov.om/NCSI_website/NCSI_EN.aspx</t>
  </si>
  <si>
    <t>Oman</t>
  </si>
  <si>
    <t>Moldova</t>
  </si>
  <si>
    <t>MDA</t>
  </si>
  <si>
    <t>Pakistan</t>
  </si>
  <si>
    <t> Federal Bureau of Statistics</t>
  </si>
  <si>
    <t>http://www.pbs.gov.pk/</t>
  </si>
  <si>
    <t>Monaco</t>
  </si>
  <si>
    <t>MCO</t>
  </si>
  <si>
    <t> Ministry of Economics Affairs &amp; Statistics</t>
  </si>
  <si>
    <t>http://www.ead.gov.pk/</t>
  </si>
  <si>
    <t>MNG</t>
  </si>
  <si>
    <t>Philippines </t>
  </si>
  <si>
    <t> Philippine Statistics Authority</t>
  </si>
  <si>
    <t>http://www.psa.gov.ph/</t>
  </si>
  <si>
    <t>Philippines</t>
  </si>
  <si>
    <t>Montenegro</t>
  </si>
  <si>
    <t>MNE</t>
  </si>
  <si>
    <t>Qatar </t>
  </si>
  <si>
    <t> Statistics Authority</t>
  </si>
  <si>
    <t>http://www.qsa.gov.qa/eng/index.htm</t>
  </si>
  <si>
    <t>Qatar</t>
  </si>
  <si>
    <t>MAR</t>
  </si>
  <si>
    <t>Saudi Arabia </t>
  </si>
  <si>
    <t> General Authority for Statistcs</t>
  </si>
  <si>
    <t>https://www.stats.gov.sa/en</t>
  </si>
  <si>
    <t>Saudi Arabia</t>
  </si>
  <si>
    <t>MOZ</t>
  </si>
  <si>
    <t>Singapore </t>
  </si>
  <si>
    <t> Singapore Department of Statistics</t>
  </si>
  <si>
    <t>http://www.singstat.gov.sg/</t>
  </si>
  <si>
    <t>Singapore</t>
  </si>
  <si>
    <t>MMR</t>
  </si>
  <si>
    <t>Sri Lanka </t>
  </si>
  <si>
    <t> Department of Census and Statistics</t>
  </si>
  <si>
    <t>http://www.statistics.gov.lk/</t>
  </si>
  <si>
    <t>Sri Lanka</t>
  </si>
  <si>
    <t>NAM</t>
  </si>
  <si>
    <t>State of Palestine </t>
  </si>
  <si>
    <t> Palestinian Central Bureau of Statistics</t>
  </si>
  <si>
    <t>http://www.pcbs.gov.ps/</t>
  </si>
  <si>
    <t>State of Palestine</t>
  </si>
  <si>
    <t>Nauru</t>
  </si>
  <si>
    <t>NRU</t>
  </si>
  <si>
    <t>Syrian Arab Repblic </t>
  </si>
  <si>
    <t>http://www.cbssyr.org/</t>
  </si>
  <si>
    <t>Syrian Arab Repblic</t>
  </si>
  <si>
    <t>Syrian Arab Republic</t>
  </si>
  <si>
    <t>SYR</t>
  </si>
  <si>
    <t>NPL</t>
  </si>
  <si>
    <t>Tajikistan </t>
  </si>
  <si>
    <t> State Statistical Committee of Tajikistan</t>
  </si>
  <si>
    <t>http://www.stat.tj/</t>
  </si>
  <si>
    <t>Tajikistan</t>
  </si>
  <si>
    <t>Netherlands</t>
  </si>
  <si>
    <t>NLD</t>
  </si>
  <si>
    <t>Thailand </t>
  </si>
  <si>
    <t>http://www.nso.go.th/</t>
  </si>
  <si>
    <t>Thailand</t>
  </si>
  <si>
    <t>New Caledonia</t>
  </si>
  <si>
    <t>NCL</t>
  </si>
  <si>
    <t>Timor Leste </t>
  </si>
  <si>
    <t> Direcçáo Nacional de Estatistica</t>
  </si>
  <si>
    <t>http://dne.mof.gov.tl/index.htm</t>
  </si>
  <si>
    <t>Timor Leste</t>
  </si>
  <si>
    <t>Timor-Leste</t>
  </si>
  <si>
    <t>TLS</t>
  </si>
  <si>
    <t>New Zealand</t>
  </si>
  <si>
    <t>NZL</t>
  </si>
  <si>
    <t>Turkey </t>
  </si>
  <si>
    <t> Turkish Statistical Institute</t>
  </si>
  <si>
    <t>http://www.turkstat.gov.tr/</t>
  </si>
  <si>
    <t>Turkey</t>
  </si>
  <si>
    <t>Türkiye</t>
  </si>
  <si>
    <t>TUR</t>
  </si>
  <si>
    <t>NIC</t>
  </si>
  <si>
    <t>United Arab Emirates </t>
  </si>
  <si>
    <t> Federal Competitiveness &amp; Statistics Authority</t>
  </si>
  <si>
    <t>http://www.fcsa.gov.ae/</t>
  </si>
  <si>
    <t>United Arab Emirates</t>
  </si>
  <si>
    <t>NER</t>
  </si>
  <si>
    <t>Uzbekistan </t>
  </si>
  <si>
    <t> State Committee of the Republic of Uzbekistan on Statistics</t>
  </si>
  <si>
    <t>http://www.stat.uz/</t>
  </si>
  <si>
    <t>Uzbekistan</t>
  </si>
  <si>
    <t>NGA</t>
  </si>
  <si>
    <t>Viet Nam </t>
  </si>
  <si>
    <t> General Statistics Office</t>
  </si>
  <si>
    <t>http://www.gso.gov.vn/</t>
  </si>
  <si>
    <t>Viet Nam</t>
  </si>
  <si>
    <t>Vietnam</t>
  </si>
  <si>
    <t>VNM</t>
  </si>
  <si>
    <t>North Macedonia</t>
  </si>
  <si>
    <t>MKD</t>
  </si>
  <si>
    <t>Åland Islands </t>
  </si>
  <si>
    <t> Statistics Åland</t>
  </si>
  <si>
    <t>http://www.asub.ax/</t>
  </si>
  <si>
    <t>Åland Islands</t>
  </si>
  <si>
    <t>Northern Mariana Islands</t>
  </si>
  <si>
    <t>MNP</t>
  </si>
  <si>
    <t> Institute of Statistics (INSTAT)</t>
  </si>
  <si>
    <t>http://www.instat.gov.al/</t>
  </si>
  <si>
    <t>Norway</t>
  </si>
  <si>
    <t>NOR</t>
  </si>
  <si>
    <t>Andorra </t>
  </si>
  <si>
    <t> Departament d'Estadística</t>
  </si>
  <si>
    <t>http://www.estadistica.ad/</t>
  </si>
  <si>
    <t>OMN</t>
  </si>
  <si>
    <t>Austria </t>
  </si>
  <si>
    <t> Statistics Austria</t>
  </si>
  <si>
    <t>http://www.statistik.at/</t>
  </si>
  <si>
    <t>PAK</t>
  </si>
  <si>
    <t>Belarus </t>
  </si>
  <si>
    <t> National Statistical Committee of the Republic of Belarus</t>
  </si>
  <si>
    <t>http://belstat.gov.by/</t>
  </si>
  <si>
    <t>Palau</t>
  </si>
  <si>
    <t>PLW</t>
  </si>
  <si>
    <t>Belgium </t>
  </si>
  <si>
    <t> Statistics Belgium</t>
  </si>
  <si>
    <t>http://www.statbel.fgov.be/</t>
  </si>
  <si>
    <t>PAN</t>
  </si>
  <si>
    <t> Bosnia and Herzegovina</t>
  </si>
  <si>
    <t> Agency for Statistics of Bosnia and Herzegovina</t>
  </si>
  <si>
    <t>http://www.bhas.ba/</t>
  </si>
  <si>
    <t>Papua New Guinea</t>
  </si>
  <si>
    <t>PNG</t>
  </si>
  <si>
    <t> Federal Office of Statistics</t>
  </si>
  <si>
    <t>http://www.fzs.ba/</t>
  </si>
  <si>
    <t>PRY</t>
  </si>
  <si>
    <t> The Republika Srpska Institute for Statistics</t>
  </si>
  <si>
    <t>http://www.rzs.rs.ba/</t>
  </si>
  <si>
    <t>PER</t>
  </si>
  <si>
    <t>Bulgaria </t>
  </si>
  <si>
    <t> National Statistical Institute of the Republic of Bulgaria</t>
  </si>
  <si>
    <t>http://www.nsi.bg/</t>
  </si>
  <si>
    <t>PHL</t>
  </si>
  <si>
    <t>Croatia </t>
  </si>
  <si>
    <t> Croatian Bureau of Statistics</t>
  </si>
  <si>
    <t>http://www.dzs.hr/</t>
  </si>
  <si>
    <t>Poland</t>
  </si>
  <si>
    <t>POL</t>
  </si>
  <si>
    <t>Czech Republic </t>
  </si>
  <si>
    <t> Czech Statistical Office</t>
  </si>
  <si>
    <t>http://www.czso.cz/</t>
  </si>
  <si>
    <t>Czech Republic</t>
  </si>
  <si>
    <t>Portugal</t>
  </si>
  <si>
    <t>PRT</t>
  </si>
  <si>
    <t>Denmark </t>
  </si>
  <si>
    <t> Statistics Denmark</t>
  </si>
  <si>
    <t>http://www.dst.dk/</t>
  </si>
  <si>
    <t>Puerto Rico</t>
  </si>
  <si>
    <t>PRI</t>
  </si>
  <si>
    <t>Estonia </t>
  </si>
  <si>
    <t> Statistics Estonia</t>
  </si>
  <si>
    <t>http://www.stat.ee/</t>
  </si>
  <si>
    <t>QAT</t>
  </si>
  <si>
    <t>Faroe Islands </t>
  </si>
  <si>
    <t> Statistics Faroe Islands</t>
  </si>
  <si>
    <t>http://www.hagstova.fo/</t>
  </si>
  <si>
    <t>Romania</t>
  </si>
  <si>
    <t>ROU</t>
  </si>
  <si>
    <t>Finland </t>
  </si>
  <si>
    <t> Statistics Finland</t>
  </si>
  <si>
    <t>http://www.stat.fi/</t>
  </si>
  <si>
    <t>Russian Federation</t>
  </si>
  <si>
    <t>RUS</t>
  </si>
  <si>
    <t> France</t>
  </si>
  <si>
    <t> Institut National de la Statistique et des Études Économiques</t>
  </si>
  <si>
    <t>http://www.insee.fr/</t>
  </si>
  <si>
    <t>RWA</t>
  </si>
  <si>
    <t> Le Portail de la statistique publique française</t>
  </si>
  <si>
    <t>http://www.statistique-publique.fr/</t>
  </si>
  <si>
    <t>Samoa</t>
  </si>
  <si>
    <t>WSM</t>
  </si>
  <si>
    <t>Germany </t>
  </si>
  <si>
    <t> Federal Statistical Office</t>
  </si>
  <si>
    <t>http://www.destatis.de/</t>
  </si>
  <si>
    <t>San Marino</t>
  </si>
  <si>
    <t>SMR</t>
  </si>
  <si>
    <t>Greece </t>
  </si>
  <si>
    <t> National Statistical Service of Greece</t>
  </si>
  <si>
    <t>http://www.statistics.gr/</t>
  </si>
  <si>
    <t>Greenland </t>
  </si>
  <si>
    <t> Statistics Greenland</t>
  </si>
  <si>
    <t>http://www.stat.gl/</t>
  </si>
  <si>
    <t>SAU</t>
  </si>
  <si>
    <t>Hungary </t>
  </si>
  <si>
    <t> Hungarian Central Statistical Office</t>
  </si>
  <si>
    <t>http://www.ksh.hu/?lang=en</t>
  </si>
  <si>
    <t>SEN</t>
  </si>
  <si>
    <t>Iceland </t>
  </si>
  <si>
    <t> Statistics Iceland</t>
  </si>
  <si>
    <t>http://www.hagstofa.is/</t>
  </si>
  <si>
    <t>Serbia</t>
  </si>
  <si>
    <t>SRB</t>
  </si>
  <si>
    <t>Ireland </t>
  </si>
  <si>
    <t> Central Statistics Office Ireland</t>
  </si>
  <si>
    <t>http://www.cso.ie/</t>
  </si>
  <si>
    <t>SYC</t>
  </si>
  <si>
    <t>Italy </t>
  </si>
  <si>
    <t> National Institut of Statistics</t>
  </si>
  <si>
    <t>http://www.istat.it/</t>
  </si>
  <si>
    <t>SLE</t>
  </si>
  <si>
    <t>Latvia </t>
  </si>
  <si>
    <t> Central Statistical Bureau of Latvia</t>
  </si>
  <si>
    <t>http://www.csb.lv/</t>
  </si>
  <si>
    <t>SGP</t>
  </si>
  <si>
    <t>Liechtenstein </t>
  </si>
  <si>
    <t>http://www.as.llv.li/</t>
  </si>
  <si>
    <t>Sint Maarten (Dutch part)</t>
  </si>
  <si>
    <t>SXM</t>
  </si>
  <si>
    <t>Lithuania </t>
  </si>
  <si>
    <t> Statistics Lithuania</t>
  </si>
  <si>
    <t>http://www.stat.gov.lt/</t>
  </si>
  <si>
    <t>Slovak Republic</t>
  </si>
  <si>
    <t>SVK</t>
  </si>
  <si>
    <t>Luxembourg </t>
  </si>
  <si>
    <t> STATEC</t>
  </si>
  <si>
    <t>http://www.statec.lu/</t>
  </si>
  <si>
    <t>Slovenia</t>
  </si>
  <si>
    <t>SVN</t>
  </si>
  <si>
    <t>Malta </t>
  </si>
  <si>
    <t> National Statistics Office</t>
  </si>
  <si>
    <t>http://www.nso.gov.mt/</t>
  </si>
  <si>
    <t>Solomon Islands</t>
  </si>
  <si>
    <t>SLB</t>
  </si>
  <si>
    <t>Moldova </t>
  </si>
  <si>
    <t>http://www.statistica.md/?lang=en</t>
  </si>
  <si>
    <t>Somalia</t>
  </si>
  <si>
    <t>SOM</t>
  </si>
  <si>
    <t>Monaco </t>
  </si>
  <si>
    <t> Official Government Portal</t>
  </si>
  <si>
    <t>http://www.gouv.mc/</t>
  </si>
  <si>
    <t>ZAF</t>
  </si>
  <si>
    <t>Montenegro </t>
  </si>
  <si>
    <t> Statistical Office of Montenegro</t>
  </si>
  <si>
    <t>http://www.monstat.org/</t>
  </si>
  <si>
    <t>SSD</t>
  </si>
  <si>
    <t> Statistics Netherlands</t>
  </si>
  <si>
    <t>http://www.cbs.nl/</t>
  </si>
  <si>
    <t>Spain</t>
  </si>
  <si>
    <t>ESP</t>
  </si>
  <si>
    <t> Bonaire, Curaçao, St. Maarten, St. Eustatius and Saba (formerly known as the Netherlands Antilles)</t>
  </si>
  <si>
    <t>http://www.cbs.an/</t>
  </si>
  <si>
    <t>LKA</t>
  </si>
  <si>
    <t>North Macedonia </t>
  </si>
  <si>
    <t> State Statistical Office</t>
  </si>
  <si>
    <t>http://www.stat.gov.mk/</t>
  </si>
  <si>
    <t>St. Kitts and Nevis</t>
  </si>
  <si>
    <t>KNA</t>
  </si>
  <si>
    <t>Norway </t>
  </si>
  <si>
    <t> Statistics Norway</t>
  </si>
  <si>
    <t>http://www.ssb.no/</t>
  </si>
  <si>
    <t>Poland </t>
  </si>
  <si>
    <t> Statistics Poland</t>
  </si>
  <si>
    <t>http://www.stat.gov.pl/</t>
  </si>
  <si>
    <t>Portugal </t>
  </si>
  <si>
    <t> Instituto Nacional de Estatística</t>
  </si>
  <si>
    <t>http://www.ine.pt/</t>
  </si>
  <si>
    <t>St. Vincent and the Grenadines</t>
  </si>
  <si>
    <t>VCT</t>
  </si>
  <si>
    <t>Romania </t>
  </si>
  <si>
    <t>http://www.insse.ro/</t>
  </si>
  <si>
    <t>SDN</t>
  </si>
  <si>
    <t>Russian Federation </t>
  </si>
  <si>
    <t> Federal State Statistics Service</t>
  </si>
  <si>
    <t>http://www.gks.ru/</t>
  </si>
  <si>
    <t>SUR</t>
  </si>
  <si>
    <t>San Marino </t>
  </si>
  <si>
    <t> Office of Economic Planning Data Processing and Statistics</t>
  </si>
  <si>
    <t>http://www.upeceds.sm/</t>
  </si>
  <si>
    <t>Sweden</t>
  </si>
  <si>
    <t>SWE</t>
  </si>
  <si>
    <t>Serbia </t>
  </si>
  <si>
    <t> Statistical Office of the Republic of Serbia</t>
  </si>
  <si>
    <t>http://webrzs.stat.gov.rs/WebSite/</t>
  </si>
  <si>
    <t>Switzerland</t>
  </si>
  <si>
    <t>CHE</t>
  </si>
  <si>
    <t>Slovakia </t>
  </si>
  <si>
    <t> Statistical Office of the Slovak Republic</t>
  </si>
  <si>
    <t>http://www.statistics.sk/</t>
  </si>
  <si>
    <t>Slovakia</t>
  </si>
  <si>
    <t>Slovenia </t>
  </si>
  <si>
    <t> Statistical Office of the Republic of Slovenia</t>
  </si>
  <si>
    <t>http://www.stat.si/</t>
  </si>
  <si>
    <t>Taiwan, China</t>
  </si>
  <si>
    <t>TWN</t>
  </si>
  <si>
    <t>Spain </t>
  </si>
  <si>
    <t>http://www.ine.es/</t>
  </si>
  <si>
    <t>TJK</t>
  </si>
  <si>
    <t>Sweden </t>
  </si>
  <si>
    <t> Statistics Sweden</t>
  </si>
  <si>
    <t>http://www.scb.se/</t>
  </si>
  <si>
    <t>Switzerland </t>
  </si>
  <si>
    <t> Swiss Federal Statistical Office</t>
  </si>
  <si>
    <t>http://www.bfs.admin.ch/</t>
  </si>
  <si>
    <t>THA</t>
  </si>
  <si>
    <t>Ukraine </t>
  </si>
  <si>
    <t> The State Committee of Statistics of Ukraine</t>
  </si>
  <si>
    <t>http://www.ukrstat.gov.ua/</t>
  </si>
  <si>
    <t>Ukraine</t>
  </si>
  <si>
    <t> United Kingdom</t>
  </si>
  <si>
    <t> UK Statistics Authority</t>
  </si>
  <si>
    <t>http://www.statistics.gov.uk/</t>
  </si>
  <si>
    <t>United Kingdom</t>
  </si>
  <si>
    <t>TGO</t>
  </si>
  <si>
    <t> Office for National Statistics</t>
  </si>
  <si>
    <t>http://www.statistics.gov.uk/default.asp</t>
  </si>
  <si>
    <t>Tonga</t>
  </si>
  <si>
    <t>TON</t>
  </si>
  <si>
    <t>Australia </t>
  </si>
  <si>
    <t> Australian Bureau of Statistics</t>
  </si>
  <si>
    <t>http://www.abs.gov.au/</t>
  </si>
  <si>
    <t>TTO</t>
  </si>
  <si>
    <t>Cook Islands </t>
  </si>
  <si>
    <t> Cook Islands Statistics Office</t>
  </si>
  <si>
    <t>http://www.stats.gov.ck/</t>
  </si>
  <si>
    <t>Cook Islands</t>
  </si>
  <si>
    <t>TUN</t>
  </si>
  <si>
    <t>Fiji </t>
  </si>
  <si>
    <t> Fiji Islands Bureau of Statistics</t>
  </si>
  <si>
    <t>http://www.statsfiji.gov.fj/</t>
  </si>
  <si>
    <t>Guam </t>
  </si>
  <si>
    <t> Bureau of Statistics and Plans</t>
  </si>
  <si>
    <t>http://www.bsp.guam.gov/</t>
  </si>
  <si>
    <t>Turkmenistan</t>
  </si>
  <si>
    <t>TKM</t>
  </si>
  <si>
    <t>Kiribati </t>
  </si>
  <si>
    <t>http://www.spc.int/prism/Country/KI/Stats/</t>
  </si>
  <si>
    <t>TCA</t>
  </si>
  <si>
    <t>Micronesia, Federated States of </t>
  </si>
  <si>
    <t> Government of the Federated States of Micronesia (FSM)</t>
  </si>
  <si>
    <t>http://www.fsmgov.org/info/people.html</t>
  </si>
  <si>
    <t>Micronesia, Federated States of</t>
  </si>
  <si>
    <t>Tuvalu</t>
  </si>
  <si>
    <t>TUV</t>
  </si>
  <si>
    <t> Embassy of the Republic of the Marshall Islands</t>
  </si>
  <si>
    <t>http://www.rmiembassyus.org/</t>
  </si>
  <si>
    <t>UGA</t>
  </si>
  <si>
    <t> Economic Policy-Planning and Statistics Office</t>
  </si>
  <si>
    <t>http://www.spc.int/prism/country/mh/stats/</t>
  </si>
  <si>
    <t>UKR</t>
  </si>
  <si>
    <t>Nauru </t>
  </si>
  <si>
    <t> Nauru Bureau of Statistics</t>
  </si>
  <si>
    <t>http://www.spc.int/prism/country/nr/stats/</t>
  </si>
  <si>
    <t>ARE</t>
  </si>
  <si>
    <t>New Zealand </t>
  </si>
  <si>
    <t> Statistics New Zealand</t>
  </si>
  <si>
    <t>http://www.stats.govt.nz/</t>
  </si>
  <si>
    <t>GBR</t>
  </si>
  <si>
    <t>Niue </t>
  </si>
  <si>
    <t> Niue Statistics</t>
  </si>
  <si>
    <t>http://www.spc.int/prism/Country/NU/stats/</t>
  </si>
  <si>
    <t>Niue</t>
  </si>
  <si>
    <t>USA</t>
  </si>
  <si>
    <t>Northern Mariana Islands </t>
  </si>
  <si>
    <t> Department of Commerce: Central Statistics Division</t>
  </si>
  <si>
    <t>http://commerce.gov.mp/divisions/central-statistics/</t>
  </si>
  <si>
    <t>URY</t>
  </si>
  <si>
    <t>Palau </t>
  </si>
  <si>
    <t> Palau Statistics</t>
  </si>
  <si>
    <t>http://www.palaugov.net/stats/</t>
  </si>
  <si>
    <t>UZB</t>
  </si>
  <si>
    <t>Papua New Guinea </t>
  </si>
  <si>
    <t> National Statistical Office of Papua New Guinea</t>
  </si>
  <si>
    <t>http://www.nso.gov.pg/</t>
  </si>
  <si>
    <t>Vanuatu</t>
  </si>
  <si>
    <t>VUT</t>
  </si>
  <si>
    <t>Samoa </t>
  </si>
  <si>
    <t> Samoa Bureau of Statistics</t>
  </si>
  <si>
    <t>http://www.sbs.gov.ws/</t>
  </si>
  <si>
    <t>Solomon Islands </t>
  </si>
  <si>
    <t> Solomon Islands National Statistics Office</t>
  </si>
  <si>
    <t>http://www.spc.int/prism/country/sb/stats/</t>
  </si>
  <si>
    <t>Tokelau </t>
  </si>
  <si>
    <t> Tokelau: Statistics Unit</t>
  </si>
  <si>
    <t>http://www.spc.int/prism/country/tk/stats/</t>
  </si>
  <si>
    <t>Tokelau</t>
  </si>
  <si>
    <t>Virgin Islands (U.S.)</t>
  </si>
  <si>
    <t>VIR</t>
  </si>
  <si>
    <t>Tonga </t>
  </si>
  <si>
    <t> Tonga Department of Statistics</t>
  </si>
  <si>
    <t>http://www.spc.int/prism/Country/TO/stats/</t>
  </si>
  <si>
    <t>West Bank and Gaza</t>
  </si>
  <si>
    <t>PSE</t>
  </si>
  <si>
    <t>Tuvalu </t>
  </si>
  <si>
    <t> Central Statistics Department</t>
  </si>
  <si>
    <t>http://www.spc.int/prism/country/tv/stats/</t>
  </si>
  <si>
    <t>Yemen, Rep.</t>
  </si>
  <si>
    <t>YEM</t>
  </si>
  <si>
    <t>Vanuatu </t>
  </si>
  <si>
    <t> Vanuatu National Statistics Office</t>
  </si>
  <si>
    <t>http://www.spc.int/prism/Country/VU/stats/</t>
  </si>
  <si>
    <t>ZMB</t>
  </si>
  <si>
    <t>ZWE</t>
  </si>
  <si>
    <t>Extracted from IMF Dissemination Standards Bulletin Board (DSBB) (https://dsbb.imf.org/) on March 12, 2025</t>
  </si>
  <si>
    <t>IMF Code</t>
  </si>
  <si>
    <t>DSSB</t>
  </si>
  <si>
    <t>https://dsbb.imf.org/sddsplus/country/AUT/category</t>
  </si>
  <si>
    <t>Special Data Dissemination Standard Plus (SDDS Plus)</t>
  </si>
  <si>
    <t>https://dsbb.imf.org/sddsplus/country/BEL/category</t>
  </si>
  <si>
    <t>https://dsbb.imf.org/sddsplus/country/BGR/category</t>
  </si>
  <si>
    <t>https://dsbb.imf.org/sddsplus/country/BRA/category</t>
  </si>
  <si>
    <t>https://dsbb.imf.org/sddsplus/country/CAN/category</t>
  </si>
  <si>
    <t>https://dsbb.imf.org/sddsplus/country/CZE/category</t>
  </si>
  <si>
    <t>https://dsbb.imf.org/sddsplus/country/CHL/category</t>
  </si>
  <si>
    <t>https://dsbb.imf.org/sddsplus/country/DNK/category</t>
  </si>
  <si>
    <t>https://dsbb.imf.org/sddsplus/country/EST/category</t>
  </si>
  <si>
    <t>https://dsbb.imf.org/sddsplus/country/FIN/category</t>
  </si>
  <si>
    <t>https://dsbb.imf.org/sddsplus/country/FRA/category</t>
  </si>
  <si>
    <t>https://dsbb.imf.org/sddsplus/country/DEU/category</t>
  </si>
  <si>
    <t>https://dsbb.imf.org/sddsplus/country/HUN/category</t>
  </si>
  <si>
    <t>https://dsbb.imf.org/sddsplus/country/ISR/category</t>
  </si>
  <si>
    <t>https://dsbb.imf.org/sddsplus/country/ITA/category</t>
  </si>
  <si>
    <t>https://dsbb.imf.org/sddsplus/country/JPN/category</t>
  </si>
  <si>
    <t>https://dsbb.imf.org/sddsplus/country/LVA/category</t>
  </si>
  <si>
    <t>https://dsbb.imf.org/sddsplus/country/LUX/category</t>
  </si>
  <si>
    <t>https://dsbb.imf.org/sddsplus/country/LTU/category</t>
  </si>
  <si>
    <t>https://dsbb.imf.org/sddsplus/country/MLT/category</t>
  </si>
  <si>
    <t>https://dsbb.imf.org/sddsplus/country/NLD/category</t>
  </si>
  <si>
    <t>North Macedonia, Republic of</t>
  </si>
  <si>
    <t>https://dsbb.imf.org/sddsplus/country/MKD/category</t>
  </si>
  <si>
    <t>https://dsbb.imf.org/sddsplus/country/PRT/category</t>
  </si>
  <si>
    <t>https://dsbb.imf.org/sddsplus/country/ROU/category</t>
  </si>
  <si>
    <t>https://dsbb.imf.org/sddsplus/country/SVK/category</t>
  </si>
  <si>
    <t>https://dsbb.imf.org/sddsplus/country/SWE/category</t>
  </si>
  <si>
    <t>https://dsbb.imf.org/sddsplus/country/SVN/category</t>
  </si>
  <si>
    <t>https://dsbb.imf.org/sddsplus/country/CHE/category</t>
  </si>
  <si>
    <t>https://dsbb.imf.org/sddsplus/country/ESP/category</t>
  </si>
  <si>
    <t>https://dsbb.imf.org/sddsplus/country/GBR/category</t>
  </si>
  <si>
    <t>https://dsbb.imf.org/sddsplus/country/USA/category</t>
  </si>
  <si>
    <t>https://dsbb.imf.org/sdds/country/ARG/category</t>
  </si>
  <si>
    <t>Special Data Dissemination Standard (SDDS)</t>
  </si>
  <si>
    <t>https://dsbb.imf.org/sdds/country/AUS/category</t>
  </si>
  <si>
    <t>https://dsbb.imf.org/sdds/country/ARM/category</t>
  </si>
  <si>
    <t>Belarus, Republic of</t>
  </si>
  <si>
    <t>https://dsbb.imf.org/sdds/country/BLR/category</t>
  </si>
  <si>
    <t>https://dsbb.imf.org/sdds/country/BIH/category</t>
  </si>
  <si>
    <t>China, P.R.: Hong Kong</t>
  </si>
  <si>
    <t>https://dsbb.imf.org/sdds/country/HKG/category</t>
  </si>
  <si>
    <t>https://dsbb.imf.org/sdds/country/CRI/category</t>
  </si>
  <si>
    <t>China, People’s Republic</t>
  </si>
  <si>
    <t>https://dsbb.imf.org/sdds/country/CHN/category</t>
  </si>
  <si>
    <t>https://dsbb.imf.org/sdds/country/HRV/category</t>
  </si>
  <si>
    <t>https://dsbb.imf.org/sdds/country/COL/category</t>
  </si>
  <si>
    <t>https://dsbb.imf.org/sdds/country/CYP/category</t>
  </si>
  <si>
    <t>https://dsbb.imf.org/sdds/country/ECU/category</t>
  </si>
  <si>
    <t>https://dsbb.imf.org/sdds/country/SLV/category</t>
  </si>
  <si>
    <t>https://dsbb.imf.org/sdds/country/EGY/category</t>
  </si>
  <si>
    <t>https://dsbb.imf.org/sdds/country/GEO/category</t>
  </si>
  <si>
    <t>https://dsbb.imf.org/sdds/country/GRC/category</t>
  </si>
  <si>
    <t>https://dsbb.imf.org/sdds/country/ISL/category</t>
  </si>
  <si>
    <t>https://dsbb.imf.org/sdds/country/IDN/category</t>
  </si>
  <si>
    <t>https://dsbb.imf.org/sdds/country/IND/category</t>
  </si>
  <si>
    <t>https://dsbb.imf.org/sdds/country/IRL/category</t>
  </si>
  <si>
    <t>https://dsbb.imf.org/sdds/country/JOR/category</t>
  </si>
  <si>
    <t>https://dsbb.imf.org/sdds/country/KAZ/category</t>
  </si>
  <si>
    <t>https://dsbb.imf.org/sdds/country/KGZ/category</t>
  </si>
  <si>
    <t>Korea</t>
  </si>
  <si>
    <t>https://dsbb.imf.org/sdds/country/KOR/category</t>
  </si>
  <si>
    <t>https://dsbb.imf.org/sdds/country/MYS/category</t>
  </si>
  <si>
    <t>Moldova, Republic of</t>
  </si>
  <si>
    <t>https://dsbb.imf.org/sdds/country/MDA/category</t>
  </si>
  <si>
    <t>https://dsbb.imf.org/sdds/country/MUS/category</t>
  </si>
  <si>
    <t>https://dsbb.imf.org/sdds/country/MNG/category</t>
  </si>
  <si>
    <t>https://dsbb.imf.org/sdds/country/MEX/category</t>
  </si>
  <si>
    <t>https://dsbb.imf.org/sdds/country/MAR/category</t>
  </si>
  <si>
    <t>https://dsbb.imf.org/sdds/country/NAM/category</t>
  </si>
  <si>
    <t>https://dsbb.imf.org/sdds/country/NOR/category</t>
  </si>
  <si>
    <t>https://dsbb.imf.org/sdds/country/PRY/category</t>
  </si>
  <si>
    <t>https://dsbb.imf.org/sdds/country/PHL/category</t>
  </si>
  <si>
    <t>https://dsbb.imf.org/sdds/country/PER/category</t>
  </si>
  <si>
    <t>https://dsbb.imf.org/sdds/country/POL/category</t>
  </si>
  <si>
    <t>https://dsbb.imf.org/sdds/country/RUS/category</t>
  </si>
  <si>
    <t>https://dsbb.imf.org/sdds/country/SAU/category</t>
  </si>
  <si>
    <t>https://dsbb.imf.org/sdds/country/SGP/category</t>
  </si>
  <si>
    <t>https://dsbb.imf.org/sdds/country/SEN/category</t>
  </si>
  <si>
    <t>https://dsbb.imf.org/sdds/country/ZAF/category</t>
  </si>
  <si>
    <t>https://dsbb.imf.org/sdds/country/SYC/category</t>
  </si>
  <si>
    <t>https://dsbb.imf.org/sdds/country/LKA/category</t>
  </si>
  <si>
    <t>https://dsbb.imf.org/sdds/country/THA/category</t>
  </si>
  <si>
    <t>Türkiye, Republic of</t>
  </si>
  <si>
    <t>https://dsbb.imf.org/sdds/country/TUR/category</t>
  </si>
  <si>
    <t>https://dsbb.imf.org/sdds/country/TUN/category</t>
  </si>
  <si>
    <t>https://dsbb.imf.org/sdds/country/UKR/category</t>
  </si>
  <si>
    <t>https://dsbb.imf.org/sdds/country/URY/category</t>
  </si>
  <si>
    <t>WBG</t>
  </si>
  <si>
    <t>https://dsbb.imf.org/sdds/country/WBG/category</t>
  </si>
  <si>
    <t>Afghanistan, Islamic Republic of</t>
  </si>
  <si>
    <t>https://dsbb.imf.org/egdds/country/AFG/category</t>
  </si>
  <si>
    <t>Enhanced General Data Dissemination System (e-GDDS)</t>
  </si>
  <si>
    <t>https://dsbb.imf.org/egdds/country/AGO/category</t>
  </si>
  <si>
    <t>https://dsbb.imf.org/egdds/country/ALB/category</t>
  </si>
  <si>
    <t>https://dsbb.imf.org/egdds/country/ATG/category</t>
  </si>
  <si>
    <t>https://dsbb.imf.org/egdds/country/DZA/category</t>
  </si>
  <si>
    <t>https://dsbb.imf.org/egdds/country/ABW/category</t>
  </si>
  <si>
    <t>Andorra, Principality of</t>
  </si>
  <si>
    <t>https://dsbb.imf.org/egdds/country/AND/category</t>
  </si>
  <si>
    <t>https://dsbb.imf.org/egdds/country/AZE/category</t>
  </si>
  <si>
    <t>https://dsbb.imf.org/egdds/country/BHS/category</t>
  </si>
  <si>
    <t>https://dsbb.imf.org/egdds/country/BTN/category</t>
  </si>
  <si>
    <t>https://dsbb.imf.org/egdds/country/BHR/category</t>
  </si>
  <si>
    <t>https://dsbb.imf.org/egdds/country/BOL/category</t>
  </si>
  <si>
    <t>https://dsbb.imf.org/egdds/country/BGD/category</t>
  </si>
  <si>
    <t>https://dsbb.imf.org/egdds/country/BWA/category</t>
  </si>
  <si>
    <t>https://dsbb.imf.org/egdds/country/BRB/category</t>
  </si>
  <si>
    <t>https://dsbb.imf.org/egdds/country/BRN/category</t>
  </si>
  <si>
    <t>https://dsbb.imf.org/egdds/country/BLZ/category</t>
  </si>
  <si>
    <t>https://dsbb.imf.org/egdds/country/BFA/category</t>
  </si>
  <si>
    <t>https://dsbb.imf.org/egdds/country/BEN/category</t>
  </si>
  <si>
    <t>https://dsbb.imf.org/egdds/country/BDI/category</t>
  </si>
  <si>
    <t>https://dsbb.imf.org/egdds/country/CPV/category</t>
  </si>
  <si>
    <t>https://dsbb.imf.org/egdds/country/COM/category</t>
  </si>
  <si>
    <t>https://dsbb.imf.org/egdds/country/KHM/category</t>
  </si>
  <si>
    <t>Congo, Dem. Rep. of</t>
  </si>
  <si>
    <t>https://dsbb.imf.org/egdds/country/COD/category</t>
  </si>
  <si>
    <t>https://dsbb.imf.org/egdds/country/CMR/category</t>
  </si>
  <si>
    <t>Congo, Rep. of</t>
  </si>
  <si>
    <t>https://dsbb.imf.org/egdds/country/COG/category</t>
  </si>
  <si>
    <t>https://dsbb.imf.org/egdds/country/CAF/category</t>
  </si>
  <si>
    <t>COK</t>
  </si>
  <si>
    <t>https://dsbb.imf.org/egdds/country/COK/category</t>
  </si>
  <si>
    <t>https://dsbb.imf.org/egdds/country/TCD/category</t>
  </si>
  <si>
    <t>https://dsbb.imf.org/egdds/country/CIV/category</t>
  </si>
  <si>
    <t>https://dsbb.imf.org/egdds/country/DJI/category</t>
  </si>
  <si>
    <t>https://dsbb.imf.org/egdds/country/DOM/category</t>
  </si>
  <si>
    <t>https://dsbb.imf.org/egdds/country/DMA/category</t>
  </si>
  <si>
    <t>https://dsbb.imf.org/egdds/country/GNQ/category</t>
  </si>
  <si>
    <t>https://dsbb.imf.org/egdds/country/ETH/category</t>
  </si>
  <si>
    <t>Eswatini, Kingdom of</t>
  </si>
  <si>
    <t>https://dsbb.imf.org/egdds/country/SWZ/category</t>
  </si>
  <si>
    <t>https://dsbb.imf.org/egdds/country/FJI/category</t>
  </si>
  <si>
    <t>https://dsbb.imf.org/egdds/country/GAB/category</t>
  </si>
  <si>
    <t>https://dsbb.imf.org/egdds/country/GTM/category</t>
  </si>
  <si>
    <t>https://dsbb.imf.org/egdds/country/GMB/category</t>
  </si>
  <si>
    <t>https://dsbb.imf.org/egdds/country/GIN/category</t>
  </si>
  <si>
    <t>https://dsbb.imf.org/egdds/country/GHA/category</t>
  </si>
  <si>
    <t>https://dsbb.imf.org/egdds/country/GNB/category</t>
  </si>
  <si>
    <t>https://dsbb.imf.org/egdds/country/GRD/category</t>
  </si>
  <si>
    <t>https://dsbb.imf.org/egdds/country/GUY/category</t>
  </si>
  <si>
    <t>https://dsbb.imf.org/egdds/country/HTI/category</t>
  </si>
  <si>
    <t>https://dsbb.imf.org/egdds/country/HND/category</t>
  </si>
  <si>
    <t>https://dsbb.imf.org/egdds/country/IRN/category</t>
  </si>
  <si>
    <t>https://dsbb.imf.org/egdds/country/IRQ/category</t>
  </si>
  <si>
    <t>https://dsbb.imf.org/egdds/country/JAM/category</t>
  </si>
  <si>
    <t>https://dsbb.imf.org/egdds/country/KEN/category</t>
  </si>
  <si>
    <t>UVK</t>
  </si>
  <si>
    <t>Kosovo, Republic of</t>
  </si>
  <si>
    <t>https://dsbb.imf.org/egdds/country/UVK/category</t>
  </si>
  <si>
    <t>https://dsbb.imf.org/egdds/country/KIR/category</t>
  </si>
  <si>
    <t>https://dsbb.imf.org/egdds/country/KWT/category</t>
  </si>
  <si>
    <t>Lao People’s Democratic Republic</t>
  </si>
  <si>
    <t>https://dsbb.imf.org/egdds/country/LAO/category</t>
  </si>
  <si>
    <t>https://dsbb.imf.org/egdds/country/LBR/category</t>
  </si>
  <si>
    <t>https://dsbb.imf.org/egdds/country/LBN/category</t>
  </si>
  <si>
    <t>https://dsbb.imf.org/egdds/country/LBY/category</t>
  </si>
  <si>
    <t>https://dsbb.imf.org/egdds/country/LSO/category</t>
  </si>
  <si>
    <t>Macao Special Administrative Region of the People's Republic of China</t>
  </si>
  <si>
    <t>https://dsbb.imf.org/egdds/country/MAC/category</t>
  </si>
  <si>
    <t>https://dsbb.imf.org/egdds/country/MRT/category</t>
  </si>
  <si>
    <t>https://dsbb.imf.org/egdds/country/MDG/category</t>
  </si>
  <si>
    <t>https://dsbb.imf.org/egdds/country/FSM/category</t>
  </si>
  <si>
    <t>https://dsbb.imf.org/egdds/country/MWI/category</t>
  </si>
  <si>
    <t>https://dsbb.imf.org/egdds/country/MNE/category</t>
  </si>
  <si>
    <t>https://dsbb.imf.org/egdds/country/MDV/category</t>
  </si>
  <si>
    <t>https://dsbb.imf.org/egdds/country/MOZ/category</t>
  </si>
  <si>
    <t>https://dsbb.imf.org/egdds/country/MLI/category</t>
  </si>
  <si>
    <t>https://dsbb.imf.org/egdds/country/MMR/category</t>
  </si>
  <si>
    <t>https://dsbb.imf.org/egdds/country/MHL/category</t>
  </si>
  <si>
    <t>https://dsbb.imf.org/egdds/country/NPL/category</t>
  </si>
  <si>
    <t>https://dsbb.imf.org/egdds/country/NER/category</t>
  </si>
  <si>
    <t>https://dsbb.imf.org/egdds/country/NIC/category</t>
  </si>
  <si>
    <t>https://dsbb.imf.org/egdds/country/NGA/category</t>
  </si>
  <si>
    <t>https://dsbb.imf.org/egdds/country/OMN/category</t>
  </si>
  <si>
    <t>https://dsbb.imf.org/egdds/country/PAK/category</t>
  </si>
  <si>
    <t>https://dsbb.imf.org/egdds/country/PAN/category</t>
  </si>
  <si>
    <t>https://dsbb.imf.org/egdds/country/PLW/category</t>
  </si>
  <si>
    <t>https://dsbb.imf.org/egdds/country/PNG/category</t>
  </si>
  <si>
    <t>https://dsbb.imf.org/egdds/country/QAT/category</t>
  </si>
  <si>
    <t>https://dsbb.imf.org/egdds/country/RWA/category</t>
  </si>
  <si>
    <t>https://dsbb.imf.org/egdds/country/WSM/category</t>
  </si>
  <si>
    <t>https://dsbb.imf.org/egdds/country/KNA/category</t>
  </si>
  <si>
    <t>https://dsbb.imf.org/egdds/country/SMR/category</t>
  </si>
  <si>
    <t>https://dsbb.imf.org/egdds/country/LCA/category</t>
  </si>
  <si>
    <t>https://dsbb.imf.org/egdds/country/STP/category</t>
  </si>
  <si>
    <t>https://dsbb.imf.org/egdds/country/VCT/category</t>
  </si>
  <si>
    <t>https://dsbb.imf.org/egdds/country/SRB/category</t>
  </si>
  <si>
    <t>https://dsbb.imf.org/egdds/country/SDN/category</t>
  </si>
  <si>
    <t>https://dsbb.imf.org/egdds/country/SLE/category</t>
  </si>
  <si>
    <t>https://dsbb.imf.org/egdds/country/SUR/category</t>
  </si>
  <si>
    <t>https://dsbb.imf.org/egdds/country/SLB/category</t>
  </si>
  <si>
    <t>https://dsbb.imf.org/egdds/country/SYR/category</t>
  </si>
  <si>
    <t>https://dsbb.imf.org/egdds/country/SOM/category</t>
  </si>
  <si>
    <t>https://dsbb.imf.org/egdds/country/TJK/category</t>
  </si>
  <si>
    <t>https://dsbb.imf.org/egdds/country/TON/category</t>
  </si>
  <si>
    <t>https://dsbb.imf.org/egdds/country/TZA/category</t>
  </si>
  <si>
    <t>https://dsbb.imf.org/egdds/country/TTO/category</t>
  </si>
  <si>
    <t>Timor-Leste, Dem. Rep. of</t>
  </si>
  <si>
    <t>https://dsbb.imf.org/egdds/country/TLS/category</t>
  </si>
  <si>
    <t>https://dsbb.imf.org/egdds/country/TUV/category</t>
  </si>
  <si>
    <t>https://dsbb.imf.org/egdds/country/TGO/category</t>
  </si>
  <si>
    <t>https://dsbb.imf.org/egdds/country/UGA/category</t>
  </si>
  <si>
    <t>https://dsbb.imf.org/egdds/country/UZB/category</t>
  </si>
  <si>
    <t>https://dsbb.imf.org/egdds/country/ARE/category</t>
  </si>
  <si>
    <t>https://dsbb.imf.org/egdds/country/VUT/category</t>
  </si>
  <si>
    <t>https://dsbb.imf.org/egdds/country/VNM/category</t>
  </si>
  <si>
    <t>Venezuela, República Bolivariana de</t>
  </si>
  <si>
    <t>https://dsbb.imf.org/egdds/country/VEN/category</t>
  </si>
  <si>
    <t>Yemen, Republic of</t>
  </si>
  <si>
    <t>https://dsbb.imf.org/egdds/country/YEM/category</t>
  </si>
  <si>
    <t>https://dsbb.imf.org/egdds/country/ZMB/category</t>
  </si>
  <si>
    <t>https://dsbb.imf.org/egdds/country/ZWE/category</t>
  </si>
  <si>
    <t>UNSD Country (with hyperlink)</t>
  </si>
  <si>
    <t>UNSD Country (without hyperlink)</t>
  </si>
  <si>
    <t>UNSD NSO</t>
  </si>
  <si>
    <t>UNSD URL (see macro to extract the URL from UNSD Country (with hyperlink))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</si>
</sst>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horizontal="left" vertical="top"/>
    </xf>
    <xf numFmtId="0" fontId="2" fillId="0" borderId="0" xfId="0" applyFont="1"/>
    <xf numFmtId="0" fontId="0" fillId="2" borderId="0" xfId="0" applyFill="1"/>
    <xf numFmtId="0" fontId="0" fillId="3" borderId="0" xfId="0" applyFill="1"/>
    <xf numFmtId="0" fontId="0" fillId="7" borderId="0" xfId="0" applyFill="1"/>
    <xf numFmtId="0" fontId="0" fillId="8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 applyAlignment="1">
      <alignment horizontal="center"/>
    </xf>
    <xf numFmtId="0" fontId="1" fillId="4" borderId="0" xfId="0" applyFont="1" applyFill="1" applyAlignment="1"/>
    <xf numFmtId="0" fontId="0" fillId="7" borderId="0" xfId="0" applyFill="1" applyAlignment="1"/>
    <xf numFmtId="0" fontId="1" fillId="5" borderId="0" xfId="0" applyFont="1" applyFill="1" applyAlignment="1"/>
    <xf numFmtId="0" fontId="1" fillId="6" borderId="0" xfId="0" applyFont="1" applyFill="1" applyAlignmen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stat.go.jp/" TargetMode="External"/><Relationship Id="rId21" Type="http://schemas.openxmlformats.org/officeDocument/2006/relationships/hyperlink" Target="http://www.stat-guinebissau.com/" TargetMode="External"/><Relationship Id="rId42" Type="http://schemas.openxmlformats.org/officeDocument/2006/relationships/hyperlink" Target="http://ssnbs.org/" TargetMode="External"/><Relationship Id="rId63" Type="http://schemas.openxmlformats.org/officeDocument/2006/relationships/hyperlink" Target="http://www.ine.cl/" TargetMode="External"/><Relationship Id="rId84" Type="http://schemas.openxmlformats.org/officeDocument/2006/relationships/hyperlink" Target="http://www.cso.gov.tt/" TargetMode="External"/><Relationship Id="rId138" Type="http://schemas.openxmlformats.org/officeDocument/2006/relationships/hyperlink" Target="http://www.pcbs.gov.ps/" TargetMode="External"/><Relationship Id="rId159" Type="http://schemas.openxmlformats.org/officeDocument/2006/relationships/hyperlink" Target="http://www.dst.dk/" TargetMode="External"/><Relationship Id="rId170" Type="http://schemas.openxmlformats.org/officeDocument/2006/relationships/hyperlink" Target="http://www.cso.ie/" TargetMode="External"/><Relationship Id="rId191" Type="http://schemas.openxmlformats.org/officeDocument/2006/relationships/hyperlink" Target="http://www.ine.es/" TargetMode="External"/><Relationship Id="rId205" Type="http://schemas.openxmlformats.org/officeDocument/2006/relationships/hyperlink" Target="http://www.spc.int/prism/country/nr/stats/" TargetMode="External"/><Relationship Id="rId107" Type="http://schemas.openxmlformats.org/officeDocument/2006/relationships/hyperlink" Target="http://www.censtatd.gov.hk/" TargetMode="External"/><Relationship Id="rId11" Type="http://schemas.openxmlformats.org/officeDocument/2006/relationships/hyperlink" Target="http://www.cnsee.org/" TargetMode="External"/><Relationship Id="rId32" Type="http://schemas.openxmlformats.org/officeDocument/2006/relationships/hyperlink" Target="http://www.ine.gov.mz/" TargetMode="External"/><Relationship Id="rId53" Type="http://schemas.openxmlformats.org/officeDocument/2006/relationships/hyperlink" Target="https://www.indec.gob.ar/" TargetMode="External"/><Relationship Id="rId74" Type="http://schemas.openxmlformats.org/officeDocument/2006/relationships/hyperlink" Target="https://www.ine.gob.hn/V3/" TargetMode="External"/><Relationship Id="rId128" Type="http://schemas.openxmlformats.org/officeDocument/2006/relationships/hyperlink" Target="http://www.csostat.gov.mm/" TargetMode="External"/><Relationship Id="rId149" Type="http://schemas.openxmlformats.org/officeDocument/2006/relationships/hyperlink" Target="http://www.estadistica.ad/" TargetMode="External"/><Relationship Id="rId5" Type="http://schemas.openxmlformats.org/officeDocument/2006/relationships/hyperlink" Target="http://www.insd.bf/n/" TargetMode="External"/><Relationship Id="rId95" Type="http://schemas.openxmlformats.org/officeDocument/2006/relationships/hyperlink" Target="http://www.cdc.gov/nchswww/" TargetMode="External"/><Relationship Id="rId160" Type="http://schemas.openxmlformats.org/officeDocument/2006/relationships/hyperlink" Target="http://www.stat.ee/" TargetMode="External"/><Relationship Id="rId181" Type="http://schemas.openxmlformats.org/officeDocument/2006/relationships/hyperlink" Target="http://www.stat.gov.mk/" TargetMode="External"/><Relationship Id="rId216" Type="http://schemas.openxmlformats.org/officeDocument/2006/relationships/hyperlink" Target="http://www.spc.int/prism/Country/VU/stats/" TargetMode="External"/><Relationship Id="rId22" Type="http://schemas.openxmlformats.org/officeDocument/2006/relationships/hyperlink" Target="http://www.knbs.or.ke/" TargetMode="External"/><Relationship Id="rId43" Type="http://schemas.openxmlformats.org/officeDocument/2006/relationships/hyperlink" Target="http://www.sainthelena.gov.sh/statistics/" TargetMode="External"/><Relationship Id="rId64" Type="http://schemas.openxmlformats.org/officeDocument/2006/relationships/hyperlink" Target="http://www.dane.gov.co/" TargetMode="External"/><Relationship Id="rId118" Type="http://schemas.openxmlformats.org/officeDocument/2006/relationships/hyperlink" Target="http://www.dos.gov.jo/" TargetMode="External"/><Relationship Id="rId139" Type="http://schemas.openxmlformats.org/officeDocument/2006/relationships/hyperlink" Target="http://www.cbssyr.org/" TargetMode="External"/><Relationship Id="rId85" Type="http://schemas.openxmlformats.org/officeDocument/2006/relationships/hyperlink" Target="http://www.depstc.org/" TargetMode="External"/><Relationship Id="rId150" Type="http://schemas.openxmlformats.org/officeDocument/2006/relationships/hyperlink" Target="http://www.statistik.at/" TargetMode="External"/><Relationship Id="rId171" Type="http://schemas.openxmlformats.org/officeDocument/2006/relationships/hyperlink" Target="http://www.istat.it/" TargetMode="External"/><Relationship Id="rId192" Type="http://schemas.openxmlformats.org/officeDocument/2006/relationships/hyperlink" Target="http://www.scb.se/" TargetMode="External"/><Relationship Id="rId206" Type="http://schemas.openxmlformats.org/officeDocument/2006/relationships/hyperlink" Target="http://www.stats.govt.nz/" TargetMode="External"/><Relationship Id="rId12" Type="http://schemas.openxmlformats.org/officeDocument/2006/relationships/hyperlink" Target="http://www.ins.ci/" TargetMode="External"/><Relationship Id="rId33" Type="http://schemas.openxmlformats.org/officeDocument/2006/relationships/hyperlink" Target="http://www.npc.gov.na/cbs/index.htm" TargetMode="External"/><Relationship Id="rId108" Type="http://schemas.openxmlformats.org/officeDocument/2006/relationships/hyperlink" Target="http://www.dsec.gov.mo/" TargetMode="External"/><Relationship Id="rId129" Type="http://schemas.openxmlformats.org/officeDocument/2006/relationships/hyperlink" Target="http://www.cbs.gov.np/" TargetMode="External"/><Relationship Id="rId54" Type="http://schemas.openxmlformats.org/officeDocument/2006/relationships/hyperlink" Target="http://www.cbs.aw/" TargetMode="External"/><Relationship Id="rId75" Type="http://schemas.openxmlformats.org/officeDocument/2006/relationships/hyperlink" Target="http://www.statinja.gov.jm/" TargetMode="External"/><Relationship Id="rId96" Type="http://schemas.openxmlformats.org/officeDocument/2006/relationships/hyperlink" Target="http://www.ed.gov/NCES/" TargetMode="External"/><Relationship Id="rId140" Type="http://schemas.openxmlformats.org/officeDocument/2006/relationships/hyperlink" Target="http://www.stat.tj/" TargetMode="External"/><Relationship Id="rId161" Type="http://schemas.openxmlformats.org/officeDocument/2006/relationships/hyperlink" Target="http://www.hagstova.fo/" TargetMode="External"/><Relationship Id="rId182" Type="http://schemas.openxmlformats.org/officeDocument/2006/relationships/hyperlink" Target="http://www.ssb.no/" TargetMode="External"/><Relationship Id="rId6" Type="http://schemas.openxmlformats.org/officeDocument/2006/relationships/hyperlink" Target="http://www.isteebu.bi/" TargetMode="External"/><Relationship Id="rId23" Type="http://schemas.openxmlformats.org/officeDocument/2006/relationships/hyperlink" Target="http://www.bos.gov.ls/" TargetMode="External"/><Relationship Id="rId119" Type="http://schemas.openxmlformats.org/officeDocument/2006/relationships/hyperlink" Target="http://www.stat.gov.kz/" TargetMode="External"/><Relationship Id="rId44" Type="http://schemas.openxmlformats.org/officeDocument/2006/relationships/hyperlink" Target="http://www.cbs.gov.sd/" TargetMode="External"/><Relationship Id="rId65" Type="http://schemas.openxmlformats.org/officeDocument/2006/relationships/hyperlink" Target="http://www.inec.go.cr/" TargetMode="External"/><Relationship Id="rId86" Type="http://schemas.openxmlformats.org/officeDocument/2006/relationships/hyperlink" Target="http://www.ine.gub.uy/" TargetMode="External"/><Relationship Id="rId130" Type="http://schemas.openxmlformats.org/officeDocument/2006/relationships/hyperlink" Target="http://www.ncsi.gov.om/NCSI_website/NCSI_EN.aspx" TargetMode="External"/><Relationship Id="rId151" Type="http://schemas.openxmlformats.org/officeDocument/2006/relationships/hyperlink" Target="http://belstat.gov.by/" TargetMode="External"/><Relationship Id="rId172" Type="http://schemas.openxmlformats.org/officeDocument/2006/relationships/hyperlink" Target="http://www.csb.lv/" TargetMode="External"/><Relationship Id="rId193" Type="http://schemas.openxmlformats.org/officeDocument/2006/relationships/hyperlink" Target="http://www.bfs.admin.ch/" TargetMode="External"/><Relationship Id="rId207" Type="http://schemas.openxmlformats.org/officeDocument/2006/relationships/hyperlink" Target="http://www.spc.int/prism/Country/NU/stats/" TargetMode="External"/><Relationship Id="rId13" Type="http://schemas.openxmlformats.org/officeDocument/2006/relationships/hyperlink" Target="http://www.ministere-finances.dj/" TargetMode="External"/><Relationship Id="rId109" Type="http://schemas.openxmlformats.org/officeDocument/2006/relationships/hyperlink" Target="http://www.mof.gov.cy/mof/cystat/statistics.nsf" TargetMode="External"/><Relationship Id="rId34" Type="http://schemas.openxmlformats.org/officeDocument/2006/relationships/hyperlink" Target="http://www.stat-niger.org/" TargetMode="External"/><Relationship Id="rId55" Type="http://schemas.openxmlformats.org/officeDocument/2006/relationships/hyperlink" Target="http://statistics.bahamas.gov.bs/" TargetMode="External"/><Relationship Id="rId76" Type="http://schemas.openxmlformats.org/officeDocument/2006/relationships/hyperlink" Target="http://www.inegi.org.mx/" TargetMode="External"/><Relationship Id="rId97" Type="http://schemas.openxmlformats.org/officeDocument/2006/relationships/hyperlink" Target="http://www.ers.usda.gov/" TargetMode="External"/><Relationship Id="rId120" Type="http://schemas.openxmlformats.org/officeDocument/2006/relationships/hyperlink" Target="http://www.stat.kg/" TargetMode="External"/><Relationship Id="rId141" Type="http://schemas.openxmlformats.org/officeDocument/2006/relationships/hyperlink" Target="http://www.nso.go.th/" TargetMode="External"/><Relationship Id="rId7" Type="http://schemas.openxmlformats.org/officeDocument/2006/relationships/hyperlink" Target="http://www.ine.cv/" TargetMode="External"/><Relationship Id="rId162" Type="http://schemas.openxmlformats.org/officeDocument/2006/relationships/hyperlink" Target="http://www.stat.fi/" TargetMode="External"/><Relationship Id="rId183" Type="http://schemas.openxmlformats.org/officeDocument/2006/relationships/hyperlink" Target="http://www.stat.gov.pl/" TargetMode="External"/><Relationship Id="rId24" Type="http://schemas.openxmlformats.org/officeDocument/2006/relationships/hyperlink" Target="http://www.tlcafrica.com/lisgis/lisgis.htm" TargetMode="External"/><Relationship Id="rId45" Type="http://schemas.openxmlformats.org/officeDocument/2006/relationships/hyperlink" Target="http://www.swazistats.org.sz/" TargetMode="External"/><Relationship Id="rId66" Type="http://schemas.openxmlformats.org/officeDocument/2006/relationships/hyperlink" Target="http://www.one.cu/" TargetMode="External"/><Relationship Id="rId87" Type="http://schemas.openxmlformats.org/officeDocument/2006/relationships/hyperlink" Target="https://fedstats.sites.usa.gov/" TargetMode="External"/><Relationship Id="rId110" Type="http://schemas.openxmlformats.org/officeDocument/2006/relationships/hyperlink" Target="http://www.geostat.ge/index.php?lang=eng" TargetMode="External"/><Relationship Id="rId131" Type="http://schemas.openxmlformats.org/officeDocument/2006/relationships/hyperlink" Target="http://www.pbs.gov.pk/" TargetMode="External"/><Relationship Id="rId152" Type="http://schemas.openxmlformats.org/officeDocument/2006/relationships/hyperlink" Target="http://www.statbel.fgov.be/" TargetMode="External"/><Relationship Id="rId173" Type="http://schemas.openxmlformats.org/officeDocument/2006/relationships/hyperlink" Target="http://www.as.llv.li/" TargetMode="External"/><Relationship Id="rId194" Type="http://schemas.openxmlformats.org/officeDocument/2006/relationships/hyperlink" Target="http://www.ukrstat.gov.ua/" TargetMode="External"/><Relationship Id="rId208" Type="http://schemas.openxmlformats.org/officeDocument/2006/relationships/hyperlink" Target="http://commerce.gov.mp/divisions/central-statistics/" TargetMode="External"/><Relationship Id="rId19" Type="http://schemas.openxmlformats.org/officeDocument/2006/relationships/hyperlink" Target="http://www.statsghana.gov.gh/" TargetMode="External"/><Relationship Id="rId14" Type="http://schemas.openxmlformats.org/officeDocument/2006/relationships/hyperlink" Target="http://www.capmas.gov.eg/" TargetMode="External"/><Relationship Id="rId30" Type="http://schemas.openxmlformats.org/officeDocument/2006/relationships/hyperlink" Target="http://statsmauritius.govmu.org/English/Pages/default.aspx" TargetMode="External"/><Relationship Id="rId35" Type="http://schemas.openxmlformats.org/officeDocument/2006/relationships/hyperlink" Target="http://www.nigerianstat.gov.ng/" TargetMode="External"/><Relationship Id="rId56" Type="http://schemas.openxmlformats.org/officeDocument/2006/relationships/hyperlink" Target="http://www.barstats.gov.bb/" TargetMode="External"/><Relationship Id="rId77" Type="http://schemas.openxmlformats.org/officeDocument/2006/relationships/hyperlink" Target="http://www.inide.gob.ni/" TargetMode="External"/><Relationship Id="rId100" Type="http://schemas.openxmlformats.org/officeDocument/2006/relationships/hyperlink" Target="https://www.stat.gov.az/?lang=en" TargetMode="External"/><Relationship Id="rId105" Type="http://schemas.openxmlformats.org/officeDocument/2006/relationships/hyperlink" Target="http://www.nis.gov.kh/" TargetMode="External"/><Relationship Id="rId126" Type="http://schemas.openxmlformats.org/officeDocument/2006/relationships/hyperlink" Target="http://www.planning.gov.mv/" TargetMode="External"/><Relationship Id="rId147" Type="http://schemas.openxmlformats.org/officeDocument/2006/relationships/hyperlink" Target="http://www.asub.ax/" TargetMode="External"/><Relationship Id="rId168" Type="http://schemas.openxmlformats.org/officeDocument/2006/relationships/hyperlink" Target="http://www.ksh.hu/?lang=en" TargetMode="External"/><Relationship Id="rId8" Type="http://schemas.openxmlformats.org/officeDocument/2006/relationships/hyperlink" Target="http://www.statistics-cameroon.org/" TargetMode="External"/><Relationship Id="rId51" Type="http://schemas.openxmlformats.org/officeDocument/2006/relationships/hyperlink" Target="http://www.zimstat.co.zw/" TargetMode="External"/><Relationship Id="rId72" Type="http://schemas.openxmlformats.org/officeDocument/2006/relationships/hyperlink" Target="http://www.statisticsguyana.gov.gy/" TargetMode="External"/><Relationship Id="rId93" Type="http://schemas.openxmlformats.org/officeDocument/2006/relationships/hyperlink" Target="http://www.publicadministration.net/resources/a-historical-look-at-the-stat-usa-project/" TargetMode="External"/><Relationship Id="rId98" Type="http://schemas.openxmlformats.org/officeDocument/2006/relationships/hyperlink" Target="http://www.ine.gov.ve/" TargetMode="External"/><Relationship Id="rId121" Type="http://schemas.openxmlformats.org/officeDocument/2006/relationships/hyperlink" Target="http://kostat.go.kr/" TargetMode="External"/><Relationship Id="rId142" Type="http://schemas.openxmlformats.org/officeDocument/2006/relationships/hyperlink" Target="http://dne.mof.gov.tl/index.htm" TargetMode="External"/><Relationship Id="rId163" Type="http://schemas.openxmlformats.org/officeDocument/2006/relationships/hyperlink" Target="http://www.insee.fr/" TargetMode="External"/><Relationship Id="rId184" Type="http://schemas.openxmlformats.org/officeDocument/2006/relationships/hyperlink" Target="http://www.ine.pt/" TargetMode="External"/><Relationship Id="rId189" Type="http://schemas.openxmlformats.org/officeDocument/2006/relationships/hyperlink" Target="http://www.statistics.sk/" TargetMode="External"/><Relationship Id="rId3" Type="http://schemas.openxmlformats.org/officeDocument/2006/relationships/hyperlink" Target="http://www.insae-bj.org/" TargetMode="External"/><Relationship Id="rId214" Type="http://schemas.openxmlformats.org/officeDocument/2006/relationships/hyperlink" Target="http://www.spc.int/prism/Country/TO/stats/" TargetMode="External"/><Relationship Id="rId25" Type="http://schemas.openxmlformats.org/officeDocument/2006/relationships/hyperlink" Target="http://www.bsc.ly/" TargetMode="External"/><Relationship Id="rId46" Type="http://schemas.openxmlformats.org/officeDocument/2006/relationships/hyperlink" Target="http://www.stat-togo.org/" TargetMode="External"/><Relationship Id="rId67" Type="http://schemas.openxmlformats.org/officeDocument/2006/relationships/hyperlink" Target="http://www.cbs.cw/" TargetMode="External"/><Relationship Id="rId116" Type="http://schemas.openxmlformats.org/officeDocument/2006/relationships/hyperlink" Target="http://www.soumu.go.jp/english/dgpp_ss/seido/guide/2011ver/07.htm" TargetMode="External"/><Relationship Id="rId137" Type="http://schemas.openxmlformats.org/officeDocument/2006/relationships/hyperlink" Target="http://www.statistics.gov.lk/" TargetMode="External"/><Relationship Id="rId158" Type="http://schemas.openxmlformats.org/officeDocument/2006/relationships/hyperlink" Target="http://www.czso.cz/" TargetMode="External"/><Relationship Id="rId20" Type="http://schemas.openxmlformats.org/officeDocument/2006/relationships/hyperlink" Target="http://www.stat-guinee.org/" TargetMode="External"/><Relationship Id="rId41" Type="http://schemas.openxmlformats.org/officeDocument/2006/relationships/hyperlink" Target="http://www.statssa.gov.za/" TargetMode="External"/><Relationship Id="rId62" Type="http://schemas.openxmlformats.org/officeDocument/2006/relationships/hyperlink" Target="http://www.eso.ky/" TargetMode="External"/><Relationship Id="rId83" Type="http://schemas.openxmlformats.org/officeDocument/2006/relationships/hyperlink" Target="http://www.statistics-suriname.org/" TargetMode="External"/><Relationship Id="rId88" Type="http://schemas.openxmlformats.org/officeDocument/2006/relationships/hyperlink" Target="http://www.census.gov/" TargetMode="External"/><Relationship Id="rId111" Type="http://schemas.openxmlformats.org/officeDocument/2006/relationships/hyperlink" Target="http://www.mospi.gov.in/" TargetMode="External"/><Relationship Id="rId132" Type="http://schemas.openxmlformats.org/officeDocument/2006/relationships/hyperlink" Target="http://www.ead.gov.pk/" TargetMode="External"/><Relationship Id="rId153" Type="http://schemas.openxmlformats.org/officeDocument/2006/relationships/hyperlink" Target="http://www.bhas.ba/" TargetMode="External"/><Relationship Id="rId174" Type="http://schemas.openxmlformats.org/officeDocument/2006/relationships/hyperlink" Target="http://www.stat.gov.lt/" TargetMode="External"/><Relationship Id="rId179" Type="http://schemas.openxmlformats.org/officeDocument/2006/relationships/hyperlink" Target="http://www.monstat.org/" TargetMode="External"/><Relationship Id="rId195" Type="http://schemas.openxmlformats.org/officeDocument/2006/relationships/hyperlink" Target="http://www.statistics.gov.uk/" TargetMode="External"/><Relationship Id="rId209" Type="http://schemas.openxmlformats.org/officeDocument/2006/relationships/hyperlink" Target="http://www.palaugov.net/stats/" TargetMode="External"/><Relationship Id="rId190" Type="http://schemas.openxmlformats.org/officeDocument/2006/relationships/hyperlink" Target="http://www.stat.si/" TargetMode="External"/><Relationship Id="rId204" Type="http://schemas.openxmlformats.org/officeDocument/2006/relationships/hyperlink" Target="http://www.spc.int/prism/country/mh/stats/" TargetMode="External"/><Relationship Id="rId15" Type="http://schemas.openxmlformats.org/officeDocument/2006/relationships/hyperlink" Target="http://www.inege.gq/" TargetMode="External"/><Relationship Id="rId36" Type="http://schemas.openxmlformats.org/officeDocument/2006/relationships/hyperlink" Target="http://www.statistics.gov.rw/" TargetMode="External"/><Relationship Id="rId57" Type="http://schemas.openxmlformats.org/officeDocument/2006/relationships/hyperlink" Target="http://sib.org.bz/" TargetMode="External"/><Relationship Id="rId106" Type="http://schemas.openxmlformats.org/officeDocument/2006/relationships/hyperlink" Target="http://www.stats.gov.cn/" TargetMode="External"/><Relationship Id="rId127" Type="http://schemas.openxmlformats.org/officeDocument/2006/relationships/hyperlink" Target="http://www.nso.mn/" TargetMode="External"/><Relationship Id="rId10" Type="http://schemas.openxmlformats.org/officeDocument/2006/relationships/hyperlink" Target="http://www.inseed-tchad.org/" TargetMode="External"/><Relationship Id="rId31" Type="http://schemas.openxmlformats.org/officeDocument/2006/relationships/hyperlink" Target="http://www.hcp.ma/" TargetMode="External"/><Relationship Id="rId52" Type="http://schemas.openxmlformats.org/officeDocument/2006/relationships/hyperlink" Target="http://www.gov.ai/statistics/" TargetMode="External"/><Relationship Id="rId73" Type="http://schemas.openxmlformats.org/officeDocument/2006/relationships/hyperlink" Target="http://www.ihsi.ht/" TargetMode="External"/><Relationship Id="rId78" Type="http://schemas.openxmlformats.org/officeDocument/2006/relationships/hyperlink" Target="http://www.contraloria.gob.pa/inec/" TargetMode="External"/><Relationship Id="rId94" Type="http://schemas.openxmlformats.org/officeDocument/2006/relationships/hyperlink" Target="http://www.eia.doe.gov/" TargetMode="External"/><Relationship Id="rId99" Type="http://schemas.openxmlformats.org/officeDocument/2006/relationships/hyperlink" Target="http://www.armstat.am/" TargetMode="External"/><Relationship Id="rId101" Type="http://schemas.openxmlformats.org/officeDocument/2006/relationships/hyperlink" Target="http://www.cio.gov.bh/" TargetMode="External"/><Relationship Id="rId122" Type="http://schemas.openxmlformats.org/officeDocument/2006/relationships/hyperlink" Target="http://www.csb.gov.kw/Default_EN.aspx" TargetMode="External"/><Relationship Id="rId143" Type="http://schemas.openxmlformats.org/officeDocument/2006/relationships/hyperlink" Target="http://www.turkstat.gov.tr/" TargetMode="External"/><Relationship Id="rId148" Type="http://schemas.openxmlformats.org/officeDocument/2006/relationships/hyperlink" Target="http://www.instat.gov.al/" TargetMode="External"/><Relationship Id="rId164" Type="http://schemas.openxmlformats.org/officeDocument/2006/relationships/hyperlink" Target="http://www.statistique-publique.fr/" TargetMode="External"/><Relationship Id="rId169" Type="http://schemas.openxmlformats.org/officeDocument/2006/relationships/hyperlink" Target="http://www.hagstofa.is/" TargetMode="External"/><Relationship Id="rId185" Type="http://schemas.openxmlformats.org/officeDocument/2006/relationships/hyperlink" Target="http://www.insse.ro/" TargetMode="External"/><Relationship Id="rId4" Type="http://schemas.openxmlformats.org/officeDocument/2006/relationships/hyperlink" Target="http://www.cso.gov.bw/" TargetMode="External"/><Relationship Id="rId9" Type="http://schemas.openxmlformats.org/officeDocument/2006/relationships/hyperlink" Target="http://www.stat-centrafrique.com/" TargetMode="External"/><Relationship Id="rId180" Type="http://schemas.openxmlformats.org/officeDocument/2006/relationships/hyperlink" Target="http://www.cbs.nl/" TargetMode="External"/><Relationship Id="rId210" Type="http://schemas.openxmlformats.org/officeDocument/2006/relationships/hyperlink" Target="http://www.nso.gov.pg/" TargetMode="External"/><Relationship Id="rId215" Type="http://schemas.openxmlformats.org/officeDocument/2006/relationships/hyperlink" Target="http://www.spc.int/prism/country/tv/stats/" TargetMode="External"/><Relationship Id="rId26" Type="http://schemas.openxmlformats.org/officeDocument/2006/relationships/hyperlink" Target="http://www.instat.mg/" TargetMode="External"/><Relationship Id="rId47" Type="http://schemas.openxmlformats.org/officeDocument/2006/relationships/hyperlink" Target="http://www.ins.nat.tn/" TargetMode="External"/><Relationship Id="rId68" Type="http://schemas.openxmlformats.org/officeDocument/2006/relationships/hyperlink" Target="http://www.one.gob.do/" TargetMode="External"/><Relationship Id="rId89" Type="http://schemas.openxmlformats.org/officeDocument/2006/relationships/hyperlink" Target="http://www.bea.gov/" TargetMode="External"/><Relationship Id="rId112" Type="http://schemas.openxmlformats.org/officeDocument/2006/relationships/hyperlink" Target="http://www.bps.go.id/" TargetMode="External"/><Relationship Id="rId133" Type="http://schemas.openxmlformats.org/officeDocument/2006/relationships/hyperlink" Target="http://www.psa.gov.ph/" TargetMode="External"/><Relationship Id="rId154" Type="http://schemas.openxmlformats.org/officeDocument/2006/relationships/hyperlink" Target="http://www.fzs.ba/" TargetMode="External"/><Relationship Id="rId175" Type="http://schemas.openxmlformats.org/officeDocument/2006/relationships/hyperlink" Target="http://www.statec.lu/" TargetMode="External"/><Relationship Id="rId196" Type="http://schemas.openxmlformats.org/officeDocument/2006/relationships/hyperlink" Target="http://www.statistics.gov.uk/default.asp" TargetMode="External"/><Relationship Id="rId200" Type="http://schemas.openxmlformats.org/officeDocument/2006/relationships/hyperlink" Target="http://www.bsp.guam.gov/" TargetMode="External"/><Relationship Id="rId16" Type="http://schemas.openxmlformats.org/officeDocument/2006/relationships/hyperlink" Target="http://www.csa.gov.et/" TargetMode="External"/><Relationship Id="rId37" Type="http://schemas.openxmlformats.org/officeDocument/2006/relationships/hyperlink" Target="http://www.ine.st/" TargetMode="External"/><Relationship Id="rId58" Type="http://schemas.openxmlformats.org/officeDocument/2006/relationships/hyperlink" Target="http://www.seaexpress.bm/portal/server.pt?open=512&amp;objID=227&amp;mode=2&amp;in_hi_userid=2&amp;cached=true" TargetMode="External"/><Relationship Id="rId79" Type="http://schemas.openxmlformats.org/officeDocument/2006/relationships/hyperlink" Target="http://www.dgeec.gov.py/" TargetMode="External"/><Relationship Id="rId102" Type="http://schemas.openxmlformats.org/officeDocument/2006/relationships/hyperlink" Target="http://www.bbs.gov.bd/" TargetMode="External"/><Relationship Id="rId123" Type="http://schemas.openxmlformats.org/officeDocument/2006/relationships/hyperlink" Target="http://www.lsb.gov.la/" TargetMode="External"/><Relationship Id="rId144" Type="http://schemas.openxmlformats.org/officeDocument/2006/relationships/hyperlink" Target="http://www.fcsa.gov.ae/" TargetMode="External"/><Relationship Id="rId90" Type="http://schemas.openxmlformats.org/officeDocument/2006/relationships/hyperlink" Target="http://www.ojp.usdoj.gov/bjs/" TargetMode="External"/><Relationship Id="rId165" Type="http://schemas.openxmlformats.org/officeDocument/2006/relationships/hyperlink" Target="http://www.destatis.de/" TargetMode="External"/><Relationship Id="rId186" Type="http://schemas.openxmlformats.org/officeDocument/2006/relationships/hyperlink" Target="http://www.gks.ru/" TargetMode="External"/><Relationship Id="rId211" Type="http://schemas.openxmlformats.org/officeDocument/2006/relationships/hyperlink" Target="http://www.sbs.gov.ws/" TargetMode="External"/><Relationship Id="rId27" Type="http://schemas.openxmlformats.org/officeDocument/2006/relationships/hyperlink" Target="http://www.nsomalawi.mw/" TargetMode="External"/><Relationship Id="rId48" Type="http://schemas.openxmlformats.org/officeDocument/2006/relationships/hyperlink" Target="http://www.ubos.org/" TargetMode="External"/><Relationship Id="rId69" Type="http://schemas.openxmlformats.org/officeDocument/2006/relationships/hyperlink" Target="http://www.ecuadorencifras.gob.ec/" TargetMode="External"/><Relationship Id="rId113" Type="http://schemas.openxmlformats.org/officeDocument/2006/relationships/hyperlink" Target="http://www.amar.org.ir/" TargetMode="External"/><Relationship Id="rId134" Type="http://schemas.openxmlformats.org/officeDocument/2006/relationships/hyperlink" Target="http://www.qsa.gov.qa/eng/index.htm" TargetMode="External"/><Relationship Id="rId80" Type="http://schemas.openxmlformats.org/officeDocument/2006/relationships/hyperlink" Target="http://www.inei.gob.pe/" TargetMode="External"/><Relationship Id="rId155" Type="http://schemas.openxmlformats.org/officeDocument/2006/relationships/hyperlink" Target="http://www.rzs.rs.ba/" TargetMode="External"/><Relationship Id="rId176" Type="http://schemas.openxmlformats.org/officeDocument/2006/relationships/hyperlink" Target="http://www.nso.gov.mt/" TargetMode="External"/><Relationship Id="rId197" Type="http://schemas.openxmlformats.org/officeDocument/2006/relationships/hyperlink" Target="http://www.abs.gov.au/" TargetMode="External"/><Relationship Id="rId201" Type="http://schemas.openxmlformats.org/officeDocument/2006/relationships/hyperlink" Target="http://www.spc.int/prism/Country/KI/Stats/" TargetMode="External"/><Relationship Id="rId17" Type="http://schemas.openxmlformats.org/officeDocument/2006/relationships/hyperlink" Target="http://www.stat-gabon.org/" TargetMode="External"/><Relationship Id="rId38" Type="http://schemas.openxmlformats.org/officeDocument/2006/relationships/hyperlink" Target="http://www.ansd.sn/" TargetMode="External"/><Relationship Id="rId59" Type="http://schemas.openxmlformats.org/officeDocument/2006/relationships/hyperlink" Target="http://www.ine.gob.bo/" TargetMode="External"/><Relationship Id="rId103" Type="http://schemas.openxmlformats.org/officeDocument/2006/relationships/hyperlink" Target="http://www.nsb.gov.bt/" TargetMode="External"/><Relationship Id="rId124" Type="http://schemas.openxmlformats.org/officeDocument/2006/relationships/hyperlink" Target="http://www.cas.gov.lb/" TargetMode="External"/><Relationship Id="rId70" Type="http://schemas.openxmlformats.org/officeDocument/2006/relationships/hyperlink" Target="http://www.digestyc.gob.sv/" TargetMode="External"/><Relationship Id="rId91" Type="http://schemas.openxmlformats.org/officeDocument/2006/relationships/hyperlink" Target="http://stats.bls.gov/" TargetMode="External"/><Relationship Id="rId145" Type="http://schemas.openxmlformats.org/officeDocument/2006/relationships/hyperlink" Target="http://www.stat.uz/" TargetMode="External"/><Relationship Id="rId166" Type="http://schemas.openxmlformats.org/officeDocument/2006/relationships/hyperlink" Target="http://www.statistics.gr/" TargetMode="External"/><Relationship Id="rId187" Type="http://schemas.openxmlformats.org/officeDocument/2006/relationships/hyperlink" Target="http://www.upeceds.sm/" TargetMode="External"/><Relationship Id="rId1" Type="http://schemas.openxmlformats.org/officeDocument/2006/relationships/hyperlink" Target="http://www.ons.dz/" TargetMode="External"/><Relationship Id="rId212" Type="http://schemas.openxmlformats.org/officeDocument/2006/relationships/hyperlink" Target="http://www.spc.int/prism/country/sb/stats/" TargetMode="External"/><Relationship Id="rId28" Type="http://schemas.openxmlformats.org/officeDocument/2006/relationships/hyperlink" Target="http://www.instat-mali.org/" TargetMode="External"/><Relationship Id="rId49" Type="http://schemas.openxmlformats.org/officeDocument/2006/relationships/hyperlink" Target="http://www.nbs.go.tz/" TargetMode="External"/><Relationship Id="rId114" Type="http://schemas.openxmlformats.org/officeDocument/2006/relationships/hyperlink" Target="http://cosit.gov.iq/english/index.php" TargetMode="External"/><Relationship Id="rId60" Type="http://schemas.openxmlformats.org/officeDocument/2006/relationships/hyperlink" Target="http://www.ibge.gov.br/" TargetMode="External"/><Relationship Id="rId81" Type="http://schemas.openxmlformats.org/officeDocument/2006/relationships/hyperlink" Target="http://www.stats.gov.lc/" TargetMode="External"/><Relationship Id="rId135" Type="http://schemas.openxmlformats.org/officeDocument/2006/relationships/hyperlink" Target="https://www.stats.gov.sa/en" TargetMode="External"/><Relationship Id="rId156" Type="http://schemas.openxmlformats.org/officeDocument/2006/relationships/hyperlink" Target="http://www.nsi.bg/" TargetMode="External"/><Relationship Id="rId177" Type="http://schemas.openxmlformats.org/officeDocument/2006/relationships/hyperlink" Target="http://www.statistica.md/?lang=en" TargetMode="External"/><Relationship Id="rId198" Type="http://schemas.openxmlformats.org/officeDocument/2006/relationships/hyperlink" Target="http://www.stats.gov.ck/" TargetMode="External"/><Relationship Id="rId202" Type="http://schemas.openxmlformats.org/officeDocument/2006/relationships/hyperlink" Target="http://www.fsmgov.org/info/people.html" TargetMode="External"/><Relationship Id="rId18" Type="http://schemas.openxmlformats.org/officeDocument/2006/relationships/hyperlink" Target="http://www.gbos.gm/" TargetMode="External"/><Relationship Id="rId39" Type="http://schemas.openxmlformats.org/officeDocument/2006/relationships/hyperlink" Target="http://www.nsb.gov.sc/" TargetMode="External"/><Relationship Id="rId50" Type="http://schemas.openxmlformats.org/officeDocument/2006/relationships/hyperlink" Target="http://www.zamstats.gov.zm/" TargetMode="External"/><Relationship Id="rId104" Type="http://schemas.openxmlformats.org/officeDocument/2006/relationships/hyperlink" Target="http://www.depd.gov.bn/dept_dos.html" TargetMode="External"/><Relationship Id="rId125" Type="http://schemas.openxmlformats.org/officeDocument/2006/relationships/hyperlink" Target="https://www.dosm.gov.my/v1/" TargetMode="External"/><Relationship Id="rId146" Type="http://schemas.openxmlformats.org/officeDocument/2006/relationships/hyperlink" Target="http://www.gso.gov.vn/" TargetMode="External"/><Relationship Id="rId167" Type="http://schemas.openxmlformats.org/officeDocument/2006/relationships/hyperlink" Target="http://www.stat.gl/" TargetMode="External"/><Relationship Id="rId188" Type="http://schemas.openxmlformats.org/officeDocument/2006/relationships/hyperlink" Target="http://webrzs.stat.gov.rs/WebSite/" TargetMode="External"/><Relationship Id="rId71" Type="http://schemas.openxmlformats.org/officeDocument/2006/relationships/hyperlink" Target="http://www.ine.gob.gt/" TargetMode="External"/><Relationship Id="rId92" Type="http://schemas.openxmlformats.org/officeDocument/2006/relationships/hyperlink" Target="http://www.bts.gov/" TargetMode="External"/><Relationship Id="rId213" Type="http://schemas.openxmlformats.org/officeDocument/2006/relationships/hyperlink" Target="http://www.spc.int/prism/country/tk/stats/" TargetMode="External"/><Relationship Id="rId2" Type="http://schemas.openxmlformats.org/officeDocument/2006/relationships/hyperlink" Target="https://www.ine.gov.ao/" TargetMode="External"/><Relationship Id="rId29" Type="http://schemas.openxmlformats.org/officeDocument/2006/relationships/hyperlink" Target="http://www.ons.mr/" TargetMode="External"/><Relationship Id="rId40" Type="http://schemas.openxmlformats.org/officeDocument/2006/relationships/hyperlink" Target="http://www.statistics.sl/" TargetMode="External"/><Relationship Id="rId115" Type="http://schemas.openxmlformats.org/officeDocument/2006/relationships/hyperlink" Target="http://www.cbs.gov.il/" TargetMode="External"/><Relationship Id="rId136" Type="http://schemas.openxmlformats.org/officeDocument/2006/relationships/hyperlink" Target="http://www.singstat.gov.sg/" TargetMode="External"/><Relationship Id="rId157" Type="http://schemas.openxmlformats.org/officeDocument/2006/relationships/hyperlink" Target="http://www.dzs.hr/" TargetMode="External"/><Relationship Id="rId178" Type="http://schemas.openxmlformats.org/officeDocument/2006/relationships/hyperlink" Target="http://www.gouv.mc/" TargetMode="External"/><Relationship Id="rId61" Type="http://schemas.openxmlformats.org/officeDocument/2006/relationships/hyperlink" Target="http://www.statcan.gc.ca/" TargetMode="External"/><Relationship Id="rId82" Type="http://schemas.openxmlformats.org/officeDocument/2006/relationships/hyperlink" Target="http://www.sintmaartengov.org/Government/Ministry%20of%20Tourism%20Economic%20Affairs%20Transport%20and%20Telecommunication/stat/Pages/Statistics.aspx" TargetMode="External"/><Relationship Id="rId199" Type="http://schemas.openxmlformats.org/officeDocument/2006/relationships/hyperlink" Target="http://www.statsfiji.gov.fj/" TargetMode="External"/><Relationship Id="rId203" Type="http://schemas.openxmlformats.org/officeDocument/2006/relationships/hyperlink" Target="http://www.rmiembassyus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F3DD8-0D13-4FF0-B1B9-DB4AEA853C46}">
  <sheetPr>
    <tabColor rgb="FFFFC000"/>
  </sheetPr>
  <dimension ref="A1:O220"/>
  <sheetViews>
    <sheetView workbookViewId="0">
      <selection sqref="A1:D1"/>
    </sheetView>
  </sheetViews>
  <sheetFormatPr defaultRowHeight="14.45"/>
  <cols>
    <col min="1" max="9" width="15.7109375" customWidth="1"/>
    <col min="10" max="10" width="1.7109375" style="6" customWidth="1"/>
    <col min="11" max="15" width="10.7109375" customWidth="1"/>
  </cols>
  <sheetData>
    <row r="1" spans="1:15">
      <c r="A1" s="11" t="s">
        <v>0</v>
      </c>
      <c r="B1" s="11"/>
      <c r="C1" s="11"/>
      <c r="D1" s="11"/>
      <c r="E1" s="3" t="s">
        <v>1</v>
      </c>
      <c r="F1" s="3" t="s">
        <v>1</v>
      </c>
      <c r="G1" s="12" t="s">
        <v>0</v>
      </c>
      <c r="H1" s="12"/>
      <c r="I1" s="12"/>
      <c r="K1" s="13" t="s">
        <v>2</v>
      </c>
      <c r="L1" s="13"/>
      <c r="M1" s="14" t="s">
        <v>3</v>
      </c>
      <c r="N1" s="14"/>
      <c r="O1" s="14"/>
    </row>
    <row r="2" spans="1:15">
      <c r="A2" s="5" t="s">
        <v>4</v>
      </c>
      <c r="B2" s="5" t="s">
        <v>5</v>
      </c>
      <c r="C2" s="5" t="s">
        <v>6</v>
      </c>
      <c r="D2" s="5" t="s">
        <v>7</v>
      </c>
      <c r="E2" s="3" t="s">
        <v>8</v>
      </c>
      <c r="F2" s="3" t="s">
        <v>9</v>
      </c>
      <c r="G2" s="5" t="s">
        <v>7</v>
      </c>
      <c r="H2" s="5" t="s">
        <v>5</v>
      </c>
      <c r="I2" s="5" t="s">
        <v>6</v>
      </c>
      <c r="K2" s="8" t="s">
        <v>8</v>
      </c>
      <c r="L2" s="8" t="s">
        <v>9</v>
      </c>
      <c r="M2" s="9" t="s">
        <v>7</v>
      </c>
      <c r="N2" s="9" t="s">
        <v>5</v>
      </c>
      <c r="O2" s="9" t="s">
        <v>6</v>
      </c>
    </row>
    <row r="3" spans="1:15">
      <c r="A3" t="s">
        <v>10</v>
      </c>
      <c r="B3" t="s">
        <v>11</v>
      </c>
      <c r="C3" t="s">
        <v>12</v>
      </c>
      <c r="D3" t="s">
        <v>13</v>
      </c>
      <c r="E3" t="str">
        <f>VLOOKUP(D3,$K$3:$L$220,1,FALSE)</f>
        <v>Algeria</v>
      </c>
      <c r="F3" t="str">
        <f>VLOOKUP(D3,$K$3:$L$220,2,FALSE)</f>
        <v>DZA</v>
      </c>
      <c r="G3" t="s">
        <v>13</v>
      </c>
      <c r="H3" t="s">
        <v>11</v>
      </c>
      <c r="I3" t="s">
        <v>12</v>
      </c>
      <c r="K3" s="4" t="s">
        <v>14</v>
      </c>
      <c r="L3" s="4" t="s">
        <v>15</v>
      </c>
      <c r="M3" s="4" t="e">
        <f>VLOOKUP(L3,$F$3:$I$219,2,FALSE)</f>
        <v>#N/A</v>
      </c>
      <c r="N3" s="4" t="e">
        <f>VLOOKUP(L3,$F$3:$I$219,3,FALSE)</f>
        <v>#N/A</v>
      </c>
      <c r="O3" s="4" t="e">
        <f>VLOOKUP(L3,$F$3:$I$219,4,FALSE)</f>
        <v>#N/A</v>
      </c>
    </row>
    <row r="4" spans="1:15">
      <c r="A4" t="s">
        <v>16</v>
      </c>
      <c r="B4" t="s">
        <v>17</v>
      </c>
      <c r="C4" t="s">
        <v>18</v>
      </c>
      <c r="D4" t="s">
        <v>19</v>
      </c>
      <c r="E4" t="str">
        <f>VLOOKUP(D4,$K$3:$L$220,1,FALSE)</f>
        <v>Angola</v>
      </c>
      <c r="F4" t="str">
        <f>VLOOKUP(D4,$K$3:$L$220,2,FALSE)</f>
        <v>AGO</v>
      </c>
      <c r="G4" t="s">
        <v>19</v>
      </c>
      <c r="H4" t="s">
        <v>17</v>
      </c>
      <c r="I4" t="s">
        <v>18</v>
      </c>
      <c r="K4" t="s">
        <v>20</v>
      </c>
      <c r="L4" t="s">
        <v>21</v>
      </c>
      <c r="M4" t="str">
        <f t="shared" ref="M4:M67" si="0">VLOOKUP(L4,$F$3:$I$219,2,FALSE)</f>
        <v>Albania</v>
      </c>
      <c r="N4" t="str">
        <f t="shared" ref="N4:N67" si="1">VLOOKUP(L4,$F$3:$I$219,3,FALSE)</f>
        <v> Institute of Statistics (INSTAT)</v>
      </c>
      <c r="O4" t="str">
        <f t="shared" ref="O4:O67" si="2">VLOOKUP(L4,$F$3:$I$219,4,FALSE)</f>
        <v>http://www.instat.gov.al/</v>
      </c>
    </row>
    <row r="5" spans="1:15">
      <c r="A5" t="s">
        <v>22</v>
      </c>
      <c r="B5" t="s">
        <v>23</v>
      </c>
      <c r="C5" t="s">
        <v>24</v>
      </c>
      <c r="D5" t="s">
        <v>25</v>
      </c>
      <c r="E5" t="str">
        <f>VLOOKUP(D5,$K$3:$L$220,1,FALSE)</f>
        <v>Benin</v>
      </c>
      <c r="F5" t="str">
        <f>VLOOKUP(D5,$K$3:$L$220,2,FALSE)</f>
        <v>BEN</v>
      </c>
      <c r="G5" t="s">
        <v>25</v>
      </c>
      <c r="H5" t="s">
        <v>23</v>
      </c>
      <c r="I5" t="s">
        <v>24</v>
      </c>
      <c r="K5" t="s">
        <v>13</v>
      </c>
      <c r="L5" t="s">
        <v>26</v>
      </c>
      <c r="M5" t="str">
        <f t="shared" si="0"/>
        <v>Algeria</v>
      </c>
      <c r="N5" t="str">
        <f t="shared" si="1"/>
        <v> Office national des statistiques</v>
      </c>
      <c r="O5" t="str">
        <f t="shared" si="2"/>
        <v>http://www.ons.dz/</v>
      </c>
    </row>
    <row r="6" spans="1:15">
      <c r="A6" t="s">
        <v>27</v>
      </c>
      <c r="B6" t="s">
        <v>28</v>
      </c>
      <c r="C6" t="s">
        <v>29</v>
      </c>
      <c r="D6" t="s">
        <v>30</v>
      </c>
      <c r="E6" t="str">
        <f>VLOOKUP(D6,$K$3:$L$220,1,FALSE)</f>
        <v>Botswana</v>
      </c>
      <c r="F6" t="str">
        <f>VLOOKUP(D6,$K$3:$L$220,2,FALSE)</f>
        <v>BWA</v>
      </c>
      <c r="G6" t="s">
        <v>30</v>
      </c>
      <c r="H6" t="s">
        <v>28</v>
      </c>
      <c r="I6" t="s">
        <v>29</v>
      </c>
      <c r="K6" s="4" t="s">
        <v>31</v>
      </c>
      <c r="L6" s="4" t="s">
        <v>32</v>
      </c>
      <c r="M6" s="4" t="e">
        <f t="shared" si="0"/>
        <v>#N/A</v>
      </c>
      <c r="N6" s="4" t="e">
        <f t="shared" si="1"/>
        <v>#N/A</v>
      </c>
      <c r="O6" s="4" t="e">
        <f t="shared" si="2"/>
        <v>#N/A</v>
      </c>
    </row>
    <row r="7" spans="1:15">
      <c r="A7" t="s">
        <v>33</v>
      </c>
      <c r="B7" t="s">
        <v>34</v>
      </c>
      <c r="C7" t="s">
        <v>35</v>
      </c>
      <c r="D7" t="s">
        <v>36</v>
      </c>
      <c r="E7" t="str">
        <f>VLOOKUP(D7,$K$3:$L$220,1,FALSE)</f>
        <v>Burkina Faso</v>
      </c>
      <c r="F7" t="str">
        <f>VLOOKUP(D7,$K$3:$L$220,2,FALSE)</f>
        <v>BFA</v>
      </c>
      <c r="G7" t="s">
        <v>36</v>
      </c>
      <c r="H7" t="s">
        <v>34</v>
      </c>
      <c r="I7" t="s">
        <v>35</v>
      </c>
      <c r="K7" t="s">
        <v>37</v>
      </c>
      <c r="L7" t="s">
        <v>38</v>
      </c>
      <c r="M7" t="str">
        <f t="shared" si="0"/>
        <v>Andorra</v>
      </c>
      <c r="N7" t="str">
        <f t="shared" si="1"/>
        <v> Departament d'Estadística</v>
      </c>
      <c r="O7" t="str">
        <f t="shared" si="2"/>
        <v>http://www.estadistica.ad/</v>
      </c>
    </row>
    <row r="8" spans="1:15">
      <c r="A8" t="s">
        <v>39</v>
      </c>
      <c r="B8" t="s">
        <v>40</v>
      </c>
      <c r="C8" t="s">
        <v>41</v>
      </c>
      <c r="D8" t="s">
        <v>42</v>
      </c>
      <c r="E8" t="str">
        <f>VLOOKUP(D8,$K$3:$L$220,1,FALSE)</f>
        <v>Burundi</v>
      </c>
      <c r="F8" t="str">
        <f>VLOOKUP(D8,$K$3:$L$220,2,FALSE)</f>
        <v>BDI</v>
      </c>
      <c r="G8" t="s">
        <v>42</v>
      </c>
      <c r="H8" t="s">
        <v>40</v>
      </c>
      <c r="I8" t="s">
        <v>41</v>
      </c>
      <c r="K8" t="s">
        <v>19</v>
      </c>
      <c r="L8" t="s">
        <v>43</v>
      </c>
      <c r="M8" t="str">
        <f t="shared" si="0"/>
        <v>Angola</v>
      </c>
      <c r="N8" t="str">
        <f t="shared" si="1"/>
        <v> Instituto Nacional de Estatistica</v>
      </c>
      <c r="O8" t="str">
        <f t="shared" si="2"/>
        <v>https://www.ine.gov.ao/</v>
      </c>
    </row>
    <row r="9" spans="1:15">
      <c r="A9" t="s">
        <v>44</v>
      </c>
      <c r="B9" t="s">
        <v>17</v>
      </c>
      <c r="C9" t="s">
        <v>45</v>
      </c>
      <c r="D9" t="s">
        <v>46</v>
      </c>
      <c r="E9" t="str">
        <f>VLOOKUP(D9,$K$3:$L$220,1,FALSE)</f>
        <v>Cabo Verde</v>
      </c>
      <c r="F9" t="str">
        <f>VLOOKUP(D9,$K$3:$L$220,2,FALSE)</f>
        <v>CPV</v>
      </c>
      <c r="G9" t="s">
        <v>46</v>
      </c>
      <c r="H9" t="s">
        <v>17</v>
      </c>
      <c r="I9" t="s">
        <v>45</v>
      </c>
      <c r="K9" s="4" t="s">
        <v>47</v>
      </c>
      <c r="L9" s="4" t="s">
        <v>48</v>
      </c>
      <c r="M9" s="4" t="e">
        <f t="shared" si="0"/>
        <v>#N/A</v>
      </c>
      <c r="N9" s="4" t="e">
        <f t="shared" si="1"/>
        <v>#N/A</v>
      </c>
      <c r="O9" s="4" t="e">
        <f t="shared" si="2"/>
        <v>#N/A</v>
      </c>
    </row>
    <row r="10" spans="1:15">
      <c r="A10" t="s">
        <v>49</v>
      </c>
      <c r="B10" t="s">
        <v>50</v>
      </c>
      <c r="C10" t="s">
        <v>51</v>
      </c>
      <c r="D10" t="s">
        <v>52</v>
      </c>
      <c r="E10" t="str">
        <f>VLOOKUP(D10,$K$3:$L$220,1,FALSE)</f>
        <v>Cameroon</v>
      </c>
      <c r="F10" t="str">
        <f>VLOOKUP(D10,$K$3:$L$220,2,FALSE)</f>
        <v>CMR</v>
      </c>
      <c r="G10" t="s">
        <v>52</v>
      </c>
      <c r="H10" t="s">
        <v>50</v>
      </c>
      <c r="I10" t="s">
        <v>51</v>
      </c>
      <c r="K10" t="s">
        <v>53</v>
      </c>
      <c r="L10" t="s">
        <v>54</v>
      </c>
      <c r="M10" t="str">
        <f t="shared" si="0"/>
        <v>Argentina</v>
      </c>
      <c r="N10" t="str">
        <f t="shared" si="1"/>
        <v> Instituto Nacional de Estadística y Censos</v>
      </c>
      <c r="O10" t="str">
        <f t="shared" si="2"/>
        <v>https://www.indec.gob.ar/</v>
      </c>
    </row>
    <row r="11" spans="1:15">
      <c r="A11" t="s">
        <v>55</v>
      </c>
      <c r="B11" t="s">
        <v>56</v>
      </c>
      <c r="C11" t="s">
        <v>57</v>
      </c>
      <c r="D11" t="s">
        <v>58</v>
      </c>
      <c r="E11" t="str">
        <f>VLOOKUP(D11,$K$3:$L$220,1,FALSE)</f>
        <v>Central African Republic</v>
      </c>
      <c r="F11" t="str">
        <f>VLOOKUP(D11,$K$3:$L$220,2,FALSE)</f>
        <v>CAF</v>
      </c>
      <c r="G11" t="s">
        <v>58</v>
      </c>
      <c r="H11" t="s">
        <v>56</v>
      </c>
      <c r="I11" t="s">
        <v>57</v>
      </c>
      <c r="K11" t="s">
        <v>59</v>
      </c>
      <c r="L11" t="s">
        <v>60</v>
      </c>
      <c r="M11" t="str">
        <f t="shared" si="0"/>
        <v>Armenia</v>
      </c>
      <c r="N11" t="str">
        <f t="shared" si="1"/>
        <v> NationalStatistical Service of the Republic of Armenia</v>
      </c>
      <c r="O11" t="str">
        <f t="shared" si="2"/>
        <v>http://www.armstat.am/</v>
      </c>
    </row>
    <row r="12" spans="1:15">
      <c r="A12" t="s">
        <v>61</v>
      </c>
      <c r="B12" t="s">
        <v>62</v>
      </c>
      <c r="C12" t="s">
        <v>63</v>
      </c>
      <c r="D12" t="s">
        <v>64</v>
      </c>
      <c r="E12" t="str">
        <f>VLOOKUP(D12,$K$3:$L$220,1,FALSE)</f>
        <v>Chad</v>
      </c>
      <c r="F12" t="str">
        <f>VLOOKUP(D12,$K$3:$L$220,2,FALSE)</f>
        <v>TCD</v>
      </c>
      <c r="G12" t="s">
        <v>64</v>
      </c>
      <c r="H12" t="s">
        <v>62</v>
      </c>
      <c r="I12" t="s">
        <v>63</v>
      </c>
      <c r="K12" t="s">
        <v>65</v>
      </c>
      <c r="L12" t="s">
        <v>66</v>
      </c>
      <c r="M12" t="str">
        <f t="shared" si="0"/>
        <v>Aruba</v>
      </c>
      <c r="N12" t="str">
        <f t="shared" si="1"/>
        <v> Central Bureau of Statistics</v>
      </c>
      <c r="O12" t="str">
        <f t="shared" si="2"/>
        <v>http://www.cbs.aw/</v>
      </c>
    </row>
    <row r="13" spans="1:15">
      <c r="A13" t="s">
        <v>67</v>
      </c>
      <c r="B13" t="s">
        <v>68</v>
      </c>
      <c r="C13" t="s">
        <v>69</v>
      </c>
      <c r="D13" t="s">
        <v>70</v>
      </c>
      <c r="E13" s="3" t="s">
        <v>71</v>
      </c>
      <c r="F13" s="3" t="s">
        <v>72</v>
      </c>
      <c r="G13" t="s">
        <v>70</v>
      </c>
      <c r="H13" t="s">
        <v>68</v>
      </c>
      <c r="I13" t="s">
        <v>69</v>
      </c>
      <c r="K13" t="s">
        <v>73</v>
      </c>
      <c r="L13" t="s">
        <v>74</v>
      </c>
      <c r="M13" t="str">
        <f t="shared" si="0"/>
        <v>Australia</v>
      </c>
      <c r="N13" t="str">
        <f t="shared" si="1"/>
        <v> Australian Bureau of Statistics</v>
      </c>
      <c r="O13" t="str">
        <f t="shared" si="2"/>
        <v>http://www.abs.gov.au/</v>
      </c>
    </row>
    <row r="14" spans="1:15">
      <c r="A14" t="s">
        <v>75</v>
      </c>
      <c r="B14" t="s">
        <v>76</v>
      </c>
      <c r="C14" t="s">
        <v>77</v>
      </c>
      <c r="D14" t="s">
        <v>78</v>
      </c>
      <c r="E14" s="3" t="s">
        <v>79</v>
      </c>
      <c r="F14" s="3" t="s">
        <v>80</v>
      </c>
      <c r="G14" t="s">
        <v>78</v>
      </c>
      <c r="H14" t="s">
        <v>76</v>
      </c>
      <c r="I14" t="s">
        <v>77</v>
      </c>
      <c r="K14" t="s">
        <v>81</v>
      </c>
      <c r="L14" t="s">
        <v>82</v>
      </c>
      <c r="M14" t="str">
        <f t="shared" si="0"/>
        <v>Austria</v>
      </c>
      <c r="N14" t="str">
        <f t="shared" si="1"/>
        <v> Statistics Austria</v>
      </c>
      <c r="O14" t="str">
        <f t="shared" si="2"/>
        <v>http://www.statistik.at/</v>
      </c>
    </row>
    <row r="15" spans="1:15">
      <c r="A15" t="s">
        <v>83</v>
      </c>
      <c r="B15" t="s">
        <v>84</v>
      </c>
      <c r="C15" t="s">
        <v>85</v>
      </c>
      <c r="D15" t="s">
        <v>86</v>
      </c>
      <c r="E15" t="str">
        <f>VLOOKUP(D15,$K$3:$L$220,1,FALSE)</f>
        <v>Djibouti</v>
      </c>
      <c r="F15" t="str">
        <f>VLOOKUP(D15,$K$3:$L$220,2,FALSE)</f>
        <v>DJI</v>
      </c>
      <c r="G15" t="s">
        <v>86</v>
      </c>
      <c r="H15" t="s">
        <v>84</v>
      </c>
      <c r="I15" t="s">
        <v>85</v>
      </c>
      <c r="K15" t="s">
        <v>87</v>
      </c>
      <c r="L15" t="s">
        <v>88</v>
      </c>
      <c r="M15" t="str">
        <f t="shared" si="0"/>
        <v>Azerbaijan</v>
      </c>
      <c r="N15" t="str">
        <f t="shared" si="1"/>
        <v> State Statistical Committee of Azerbaijan Republic</v>
      </c>
      <c r="O15" t="str">
        <f t="shared" si="2"/>
        <v>https://www.stat.gov.az/?lang=en</v>
      </c>
    </row>
    <row r="16" spans="1:15">
      <c r="A16" t="s">
        <v>89</v>
      </c>
      <c r="B16" t="s">
        <v>90</v>
      </c>
      <c r="C16" t="s">
        <v>91</v>
      </c>
      <c r="D16" t="s">
        <v>92</v>
      </c>
      <c r="E16" s="3" t="s">
        <v>93</v>
      </c>
      <c r="F16" s="3" t="s">
        <v>94</v>
      </c>
      <c r="G16" t="s">
        <v>92</v>
      </c>
      <c r="H16" t="s">
        <v>90</v>
      </c>
      <c r="I16" t="s">
        <v>91</v>
      </c>
      <c r="K16" t="s">
        <v>95</v>
      </c>
      <c r="L16" t="s">
        <v>96</v>
      </c>
      <c r="M16" t="str">
        <f t="shared" si="0"/>
        <v>Bahamas</v>
      </c>
      <c r="N16" t="str">
        <f t="shared" si="1"/>
        <v> Department of Statistics</v>
      </c>
      <c r="O16" t="str">
        <f t="shared" si="2"/>
        <v>http://statistics.bahamas.gov.bs/</v>
      </c>
    </row>
    <row r="17" spans="1:15">
      <c r="A17" t="s">
        <v>97</v>
      </c>
      <c r="B17" t="s">
        <v>98</v>
      </c>
      <c r="C17" t="s">
        <v>99</v>
      </c>
      <c r="D17" t="s">
        <v>100</v>
      </c>
      <c r="E17" t="str">
        <f>VLOOKUP(D17,$K$3:$L$220,1,FALSE)</f>
        <v>Equatorial Guinea</v>
      </c>
      <c r="F17" t="str">
        <f>VLOOKUP(D17,$K$3:$L$220,2,FALSE)</f>
        <v>GNQ</v>
      </c>
      <c r="G17" t="s">
        <v>100</v>
      </c>
      <c r="H17" t="s">
        <v>98</v>
      </c>
      <c r="I17" t="s">
        <v>99</v>
      </c>
      <c r="K17" t="s">
        <v>101</v>
      </c>
      <c r="L17" t="s">
        <v>102</v>
      </c>
      <c r="M17" t="str">
        <f t="shared" si="0"/>
        <v>Bahrain</v>
      </c>
      <c r="N17" t="str">
        <f t="shared" si="1"/>
        <v> Central Informatics Organisation - Statistics</v>
      </c>
      <c r="O17" t="str">
        <f t="shared" si="2"/>
        <v>http://www.cio.gov.bh/</v>
      </c>
    </row>
    <row r="18" spans="1:15">
      <c r="A18" t="s">
        <v>103</v>
      </c>
      <c r="B18" t="s">
        <v>104</v>
      </c>
      <c r="C18" t="s">
        <v>105</v>
      </c>
      <c r="D18" t="s">
        <v>106</v>
      </c>
      <c r="E18" t="str">
        <f>VLOOKUP(D18,$K$3:$L$220,1,FALSE)</f>
        <v>Ethiopia</v>
      </c>
      <c r="F18" t="str">
        <f>VLOOKUP(D18,$K$3:$L$220,2,FALSE)</f>
        <v>ETH</v>
      </c>
      <c r="G18" t="s">
        <v>106</v>
      </c>
      <c r="H18" t="s">
        <v>104</v>
      </c>
      <c r="I18" t="s">
        <v>105</v>
      </c>
      <c r="K18" t="s">
        <v>107</v>
      </c>
      <c r="L18" t="s">
        <v>108</v>
      </c>
      <c r="M18" t="str">
        <f t="shared" si="0"/>
        <v>Bangladesh</v>
      </c>
      <c r="N18" t="str">
        <f t="shared" si="1"/>
        <v> Bureau of Statistics</v>
      </c>
      <c r="O18" t="str">
        <f t="shared" si="2"/>
        <v>http://www.bbs.gov.bd/</v>
      </c>
    </row>
    <row r="19" spans="1:15">
      <c r="A19" t="s">
        <v>109</v>
      </c>
      <c r="B19" t="s">
        <v>110</v>
      </c>
      <c r="C19" t="s">
        <v>111</v>
      </c>
      <c r="D19" t="s">
        <v>112</v>
      </c>
      <c r="E19" t="str">
        <f>VLOOKUP(D19,$K$3:$L$220,1,FALSE)</f>
        <v>Gabon</v>
      </c>
      <c r="F19" t="str">
        <f>VLOOKUP(D19,$K$3:$L$220,2,FALSE)</f>
        <v>GAB</v>
      </c>
      <c r="G19" t="s">
        <v>112</v>
      </c>
      <c r="H19" t="s">
        <v>110</v>
      </c>
      <c r="I19" t="s">
        <v>111</v>
      </c>
      <c r="K19" t="s">
        <v>113</v>
      </c>
      <c r="L19" t="s">
        <v>114</v>
      </c>
      <c r="M19" t="str">
        <f t="shared" si="0"/>
        <v>Barbados</v>
      </c>
      <c r="N19" t="str">
        <f t="shared" si="1"/>
        <v> Barbados Statistical Service</v>
      </c>
      <c r="O19" t="str">
        <f t="shared" si="2"/>
        <v>http://www.barstats.gov.bb/</v>
      </c>
    </row>
    <row r="20" spans="1:15">
      <c r="A20" t="s">
        <v>115</v>
      </c>
      <c r="B20" t="s">
        <v>116</v>
      </c>
      <c r="C20" t="s">
        <v>117</v>
      </c>
      <c r="D20" t="s">
        <v>118</v>
      </c>
      <c r="E20" s="3" t="s">
        <v>119</v>
      </c>
      <c r="F20" s="3" t="s">
        <v>120</v>
      </c>
      <c r="G20" t="s">
        <v>118</v>
      </c>
      <c r="H20" t="s">
        <v>116</v>
      </c>
      <c r="I20" t="s">
        <v>117</v>
      </c>
      <c r="K20" t="s">
        <v>121</v>
      </c>
      <c r="L20" t="s">
        <v>122</v>
      </c>
      <c r="M20" t="str">
        <f t="shared" si="0"/>
        <v>Belarus</v>
      </c>
      <c r="N20" t="str">
        <f t="shared" si="1"/>
        <v> National Statistical Committee of the Republic of Belarus</v>
      </c>
      <c r="O20" t="str">
        <f t="shared" si="2"/>
        <v>http://belstat.gov.by/</v>
      </c>
    </row>
    <row r="21" spans="1:15">
      <c r="A21" t="s">
        <v>123</v>
      </c>
      <c r="B21" t="s">
        <v>124</v>
      </c>
      <c r="C21" t="s">
        <v>125</v>
      </c>
      <c r="D21" t="s">
        <v>123</v>
      </c>
      <c r="E21" t="str">
        <f>VLOOKUP(D21,$K$3:$L$220,1,FALSE)</f>
        <v>Ghana</v>
      </c>
      <c r="F21" t="str">
        <f>VLOOKUP(D21,$K$3:$L$220,2,FALSE)</f>
        <v>GHA</v>
      </c>
      <c r="G21" t="s">
        <v>123</v>
      </c>
      <c r="H21" t="s">
        <v>124</v>
      </c>
      <c r="I21" t="s">
        <v>125</v>
      </c>
      <c r="K21" t="s">
        <v>126</v>
      </c>
      <c r="L21" t="s">
        <v>127</v>
      </c>
      <c r="M21" t="str">
        <f t="shared" si="0"/>
        <v>Belgium</v>
      </c>
      <c r="N21" t="str">
        <f t="shared" si="1"/>
        <v> Statistics Belgium</v>
      </c>
      <c r="O21" t="str">
        <f t="shared" si="2"/>
        <v>http://www.statbel.fgov.be/</v>
      </c>
    </row>
    <row r="22" spans="1:15">
      <c r="A22" t="s">
        <v>128</v>
      </c>
      <c r="B22" t="s">
        <v>129</v>
      </c>
      <c r="C22" t="s">
        <v>130</v>
      </c>
      <c r="D22" t="s">
        <v>131</v>
      </c>
      <c r="E22" t="str">
        <f>VLOOKUP(D22,$K$3:$L$220,1,FALSE)</f>
        <v>Guinea</v>
      </c>
      <c r="F22" t="str">
        <f>VLOOKUP(D22,$K$3:$L$220,2,FALSE)</f>
        <v>GIN</v>
      </c>
      <c r="G22" t="s">
        <v>131</v>
      </c>
      <c r="H22" t="s">
        <v>129</v>
      </c>
      <c r="I22" t="s">
        <v>130</v>
      </c>
      <c r="K22" t="s">
        <v>132</v>
      </c>
      <c r="L22" t="s">
        <v>133</v>
      </c>
      <c r="M22" t="str">
        <f t="shared" si="0"/>
        <v>Belize</v>
      </c>
      <c r="N22" t="str">
        <f t="shared" si="1"/>
        <v> Statistical Institute of Belize</v>
      </c>
      <c r="O22" t="str">
        <f t="shared" si="2"/>
        <v>http://sib.org.bz/</v>
      </c>
    </row>
    <row r="23" spans="1:15">
      <c r="A23" t="s">
        <v>134</v>
      </c>
      <c r="B23" t="s">
        <v>135</v>
      </c>
      <c r="C23" t="s">
        <v>136</v>
      </c>
      <c r="D23" t="s">
        <v>137</v>
      </c>
      <c r="E23" t="str">
        <f>VLOOKUP(D23,$K$3:$L$220,1,FALSE)</f>
        <v>Guinea-Bissau</v>
      </c>
      <c r="F23" t="str">
        <f>VLOOKUP(D23,$K$3:$L$220,2,FALSE)</f>
        <v>GNB</v>
      </c>
      <c r="G23" t="s">
        <v>137</v>
      </c>
      <c r="H23" t="s">
        <v>135</v>
      </c>
      <c r="I23" t="s">
        <v>136</v>
      </c>
      <c r="K23" t="s">
        <v>25</v>
      </c>
      <c r="L23" t="s">
        <v>138</v>
      </c>
      <c r="M23" t="str">
        <f t="shared" si="0"/>
        <v>Benin</v>
      </c>
      <c r="N23" t="str">
        <f t="shared" si="1"/>
        <v> Institut national de la statistique et de l'analyse economique</v>
      </c>
      <c r="O23" t="str">
        <f t="shared" si="2"/>
        <v>http://www.insae-bj.org/</v>
      </c>
    </row>
    <row r="24" spans="1:15">
      <c r="A24" t="s">
        <v>139</v>
      </c>
      <c r="B24" t="s">
        <v>140</v>
      </c>
      <c r="C24" t="s">
        <v>141</v>
      </c>
      <c r="D24" t="s">
        <v>139</v>
      </c>
      <c r="E24" t="str">
        <f>VLOOKUP(D24,$K$3:$L$220,1,FALSE)</f>
        <v>Kenya</v>
      </c>
      <c r="F24" t="str">
        <f>VLOOKUP(D24,$K$3:$L$220,2,FALSE)</f>
        <v>KEN</v>
      </c>
      <c r="G24" t="s">
        <v>139</v>
      </c>
      <c r="H24" t="s">
        <v>140</v>
      </c>
      <c r="I24" t="s">
        <v>141</v>
      </c>
      <c r="K24" t="s">
        <v>142</v>
      </c>
      <c r="L24" t="s">
        <v>143</v>
      </c>
      <c r="M24" t="str">
        <f t="shared" si="0"/>
        <v>Bermuda</v>
      </c>
      <c r="N24" t="str">
        <f t="shared" si="1"/>
        <v> Department of Statistics</v>
      </c>
      <c r="O24" t="str">
        <f t="shared" si="2"/>
        <v>http://www.seaexpress.bm/portal/server.pt?open=512&amp;objID=227&amp;mode=2&amp;in_hi_userid=2&amp;cached=true</v>
      </c>
    </row>
    <row r="25" spans="1:15">
      <c r="A25" t="s">
        <v>144</v>
      </c>
      <c r="B25" t="s">
        <v>145</v>
      </c>
      <c r="C25" t="s">
        <v>146</v>
      </c>
      <c r="D25" t="s">
        <v>147</v>
      </c>
      <c r="E25" t="str">
        <f>VLOOKUP(D25,$K$3:$L$220,1,FALSE)</f>
        <v>Lesotho</v>
      </c>
      <c r="F25" t="str">
        <f>VLOOKUP(D25,$K$3:$L$220,2,FALSE)</f>
        <v>LSO</v>
      </c>
      <c r="G25" t="s">
        <v>147</v>
      </c>
      <c r="H25" t="s">
        <v>145</v>
      </c>
      <c r="I25" t="s">
        <v>146</v>
      </c>
      <c r="K25" t="s">
        <v>148</v>
      </c>
      <c r="L25" t="s">
        <v>149</v>
      </c>
      <c r="M25" t="str">
        <f t="shared" si="0"/>
        <v>Bhutan</v>
      </c>
      <c r="N25" t="str">
        <f t="shared" si="1"/>
        <v> National Statistics Bureau</v>
      </c>
      <c r="O25" t="str">
        <f t="shared" si="2"/>
        <v>http://www.nsb.gov.bt/</v>
      </c>
    </row>
    <row r="26" spans="1:15">
      <c r="A26" t="s">
        <v>150</v>
      </c>
      <c r="B26" t="s">
        <v>151</v>
      </c>
      <c r="C26" t="s">
        <v>152</v>
      </c>
      <c r="D26" t="s">
        <v>153</v>
      </c>
      <c r="E26" t="str">
        <f>VLOOKUP(D26,$K$3:$L$220,1,FALSE)</f>
        <v>Liberia</v>
      </c>
      <c r="F26" t="str">
        <f>VLOOKUP(D26,$K$3:$L$220,2,FALSE)</f>
        <v>LBR</v>
      </c>
      <c r="G26" t="s">
        <v>153</v>
      </c>
      <c r="H26" t="s">
        <v>151</v>
      </c>
      <c r="I26" t="s">
        <v>152</v>
      </c>
      <c r="K26" t="s">
        <v>154</v>
      </c>
      <c r="L26" t="s">
        <v>155</v>
      </c>
      <c r="M26" t="str">
        <f t="shared" si="0"/>
        <v>Bolivia</v>
      </c>
      <c r="N26" t="str">
        <f t="shared" si="1"/>
        <v> Instituto Nacional de Estadística</v>
      </c>
      <c r="O26" t="str">
        <f t="shared" si="2"/>
        <v>http://www.ine.gob.bo/</v>
      </c>
    </row>
    <row r="27" spans="1:15">
      <c r="A27" t="s">
        <v>156</v>
      </c>
      <c r="B27" t="s">
        <v>157</v>
      </c>
      <c r="C27" t="s">
        <v>158</v>
      </c>
      <c r="D27" t="s">
        <v>156</v>
      </c>
      <c r="E27" t="str">
        <f>VLOOKUP(D27,$K$3:$L$220,1,FALSE)</f>
        <v>Libya</v>
      </c>
      <c r="F27" t="str">
        <f>VLOOKUP(D27,$K$3:$L$220,2,FALSE)</f>
        <v>LBY</v>
      </c>
      <c r="G27" t="s">
        <v>156</v>
      </c>
      <c r="H27" t="s">
        <v>157</v>
      </c>
      <c r="I27" t="s">
        <v>158</v>
      </c>
      <c r="K27" t="s">
        <v>159</v>
      </c>
      <c r="L27" t="s">
        <v>160</v>
      </c>
      <c r="M27" t="str">
        <f t="shared" si="0"/>
        <v>Bosnia and Herzegovina</v>
      </c>
      <c r="N27" t="str">
        <f t="shared" si="1"/>
        <v> Agency for Statistics of Bosnia and Herzegovina</v>
      </c>
      <c r="O27" t="str">
        <f t="shared" si="2"/>
        <v>http://www.bhas.ba/</v>
      </c>
    </row>
    <row r="28" spans="1:15">
      <c r="A28" t="s">
        <v>161</v>
      </c>
      <c r="B28" t="s">
        <v>76</v>
      </c>
      <c r="C28" t="s">
        <v>162</v>
      </c>
      <c r="D28" t="s">
        <v>163</v>
      </c>
      <c r="E28" t="str">
        <f>VLOOKUP(D28,$K$3:$L$220,1,FALSE)</f>
        <v>Madagascar</v>
      </c>
      <c r="F28" t="str">
        <f>VLOOKUP(D28,$K$3:$L$220,2,FALSE)</f>
        <v>MDG</v>
      </c>
      <c r="G28" t="s">
        <v>163</v>
      </c>
      <c r="H28" t="s">
        <v>76</v>
      </c>
      <c r="I28" t="s">
        <v>162</v>
      </c>
      <c r="K28" t="s">
        <v>30</v>
      </c>
      <c r="L28" t="s">
        <v>164</v>
      </c>
      <c r="M28" t="str">
        <f t="shared" si="0"/>
        <v>Botswana</v>
      </c>
      <c r="N28" t="str">
        <f t="shared" si="1"/>
        <v> Central Statistical Office</v>
      </c>
      <c r="O28" t="str">
        <f t="shared" si="2"/>
        <v>http://www.cso.gov.bw/</v>
      </c>
    </row>
    <row r="29" spans="1:15">
      <c r="A29" t="s">
        <v>165</v>
      </c>
      <c r="B29" t="s">
        <v>166</v>
      </c>
      <c r="C29" t="s">
        <v>167</v>
      </c>
      <c r="D29" t="s">
        <v>168</v>
      </c>
      <c r="E29" t="str">
        <f>VLOOKUP(D29,$K$3:$L$220,1,FALSE)</f>
        <v>Malawi</v>
      </c>
      <c r="F29" t="str">
        <f>VLOOKUP(D29,$K$3:$L$220,2,FALSE)</f>
        <v>MWI</v>
      </c>
      <c r="G29" t="s">
        <v>168</v>
      </c>
      <c r="H29" t="s">
        <v>166</v>
      </c>
      <c r="I29" t="s">
        <v>167</v>
      </c>
      <c r="K29" t="s">
        <v>169</v>
      </c>
      <c r="L29" t="s">
        <v>170</v>
      </c>
      <c r="M29" t="str">
        <f t="shared" si="0"/>
        <v>Brazil</v>
      </c>
      <c r="N29" t="str">
        <f t="shared" si="1"/>
        <v> Instituto Brasileiro de Geografia e Estatística (IBGE)</v>
      </c>
      <c r="O29" t="str">
        <f t="shared" si="2"/>
        <v>http://www.ibge.gov.br/</v>
      </c>
    </row>
    <row r="30" spans="1:15">
      <c r="A30" t="s">
        <v>171</v>
      </c>
      <c r="B30" t="s">
        <v>172</v>
      </c>
      <c r="C30" t="s">
        <v>173</v>
      </c>
      <c r="D30" t="s">
        <v>174</v>
      </c>
      <c r="E30" t="str">
        <f>VLOOKUP(D30,$K$3:$L$220,1,FALSE)</f>
        <v>Mali</v>
      </c>
      <c r="F30" t="str">
        <f>VLOOKUP(D30,$K$3:$L$220,2,FALSE)</f>
        <v>MLI</v>
      </c>
      <c r="G30" t="s">
        <v>174</v>
      </c>
      <c r="H30" t="s">
        <v>172</v>
      </c>
      <c r="I30" t="s">
        <v>173</v>
      </c>
      <c r="K30" s="4" t="s">
        <v>175</v>
      </c>
      <c r="L30" s="4" t="s">
        <v>176</v>
      </c>
      <c r="M30" s="4" t="e">
        <f t="shared" si="0"/>
        <v>#N/A</v>
      </c>
      <c r="N30" s="4" t="e">
        <f t="shared" si="1"/>
        <v>#N/A</v>
      </c>
      <c r="O30" s="4" t="e">
        <f t="shared" si="2"/>
        <v>#N/A</v>
      </c>
    </row>
    <row r="31" spans="1:15">
      <c r="A31" t="s">
        <v>177</v>
      </c>
      <c r="B31" t="s">
        <v>178</v>
      </c>
      <c r="C31" t="s">
        <v>179</v>
      </c>
      <c r="D31" t="s">
        <v>180</v>
      </c>
      <c r="E31" t="str">
        <f>VLOOKUP(D31,$K$3:$L$220,1,FALSE)</f>
        <v>Mauritania</v>
      </c>
      <c r="F31" t="str">
        <f>VLOOKUP(D31,$K$3:$L$220,2,FALSE)</f>
        <v>MRT</v>
      </c>
      <c r="G31" t="s">
        <v>180</v>
      </c>
      <c r="H31" t="s">
        <v>178</v>
      </c>
      <c r="I31" t="s">
        <v>179</v>
      </c>
      <c r="K31" t="s">
        <v>181</v>
      </c>
      <c r="L31" t="s">
        <v>182</v>
      </c>
      <c r="M31" t="str">
        <f t="shared" si="0"/>
        <v>Brunei Darussalam</v>
      </c>
      <c r="N31" t="str">
        <f t="shared" si="1"/>
        <v> Statistics- Department of Economic Planning and Development</v>
      </c>
      <c r="O31" t="str">
        <f t="shared" si="2"/>
        <v>http://www.depd.gov.bn/dept_dos.html</v>
      </c>
    </row>
    <row r="32" spans="1:15">
      <c r="A32" t="s">
        <v>183</v>
      </c>
      <c r="B32" t="s">
        <v>184</v>
      </c>
      <c r="C32" t="s">
        <v>185</v>
      </c>
      <c r="D32" t="s">
        <v>186</v>
      </c>
      <c r="E32" t="str">
        <f>VLOOKUP(D32,$K$3:$L$220,1,FALSE)</f>
        <v>Mauritius</v>
      </c>
      <c r="F32" t="str">
        <f>VLOOKUP(D32,$K$3:$L$220,2,FALSE)</f>
        <v>MUS</v>
      </c>
      <c r="G32" t="s">
        <v>186</v>
      </c>
      <c r="H32" t="s">
        <v>184</v>
      </c>
      <c r="I32" t="s">
        <v>185</v>
      </c>
      <c r="K32" t="s">
        <v>187</v>
      </c>
      <c r="L32" t="s">
        <v>188</v>
      </c>
      <c r="M32" t="str">
        <f t="shared" si="0"/>
        <v>Bulgaria</v>
      </c>
      <c r="N32" t="str">
        <f t="shared" si="1"/>
        <v> National Statistical Institute of the Republic of Bulgaria</v>
      </c>
      <c r="O32" t="str">
        <f t="shared" si="2"/>
        <v>http://www.nsi.bg/</v>
      </c>
    </row>
    <row r="33" spans="1:15">
      <c r="A33" t="s">
        <v>189</v>
      </c>
      <c r="B33" t="s">
        <v>190</v>
      </c>
      <c r="C33" t="s">
        <v>191</v>
      </c>
      <c r="D33" t="s">
        <v>192</v>
      </c>
      <c r="E33" t="str">
        <f>VLOOKUP(D33,$K$3:$L$220,1,FALSE)</f>
        <v>Morocco</v>
      </c>
      <c r="F33" t="str">
        <f>VLOOKUP(D33,$K$3:$L$220,2,FALSE)</f>
        <v>MAR</v>
      </c>
      <c r="G33" t="s">
        <v>192</v>
      </c>
      <c r="H33" t="s">
        <v>190</v>
      </c>
      <c r="I33" t="s">
        <v>191</v>
      </c>
      <c r="K33" t="s">
        <v>36</v>
      </c>
      <c r="L33" t="s">
        <v>193</v>
      </c>
      <c r="M33" t="str">
        <f t="shared" si="0"/>
        <v>Burkina Faso</v>
      </c>
      <c r="N33" t="str">
        <f t="shared" si="1"/>
        <v> Institut National de la Statistique des et de la Démographie</v>
      </c>
      <c r="O33" t="str">
        <f t="shared" si="2"/>
        <v>http://www.insd.bf/n/</v>
      </c>
    </row>
    <row r="34" spans="1:15">
      <c r="A34" t="s">
        <v>194</v>
      </c>
      <c r="B34" t="s">
        <v>17</v>
      </c>
      <c r="C34" t="s">
        <v>195</v>
      </c>
      <c r="D34" t="s">
        <v>196</v>
      </c>
      <c r="E34" t="str">
        <f>VLOOKUP(D34,$K$3:$L$220,1,FALSE)</f>
        <v>Mozambique</v>
      </c>
      <c r="F34" t="str">
        <f>VLOOKUP(D34,$K$3:$L$220,2,FALSE)</f>
        <v>MOZ</v>
      </c>
      <c r="G34" t="s">
        <v>196</v>
      </c>
      <c r="H34" t="s">
        <v>17</v>
      </c>
      <c r="I34" t="s">
        <v>195</v>
      </c>
      <c r="K34" t="s">
        <v>42</v>
      </c>
      <c r="L34" t="s">
        <v>197</v>
      </c>
      <c r="M34" t="str">
        <f t="shared" si="0"/>
        <v>Burundi</v>
      </c>
      <c r="N34" t="str">
        <f t="shared" si="1"/>
        <v> Institut de Statistiques et d'etudes Economuques</v>
      </c>
      <c r="O34" t="str">
        <f t="shared" si="2"/>
        <v>http://www.isteebu.bi/</v>
      </c>
    </row>
    <row r="35" spans="1:15">
      <c r="A35" t="s">
        <v>198</v>
      </c>
      <c r="B35" t="s">
        <v>199</v>
      </c>
      <c r="C35" t="s">
        <v>200</v>
      </c>
      <c r="D35" t="s">
        <v>201</v>
      </c>
      <c r="E35" t="str">
        <f>VLOOKUP(D35,$K$3:$L$220,1,FALSE)</f>
        <v>Namibia</v>
      </c>
      <c r="F35" t="str">
        <f>VLOOKUP(D35,$K$3:$L$220,2,FALSE)</f>
        <v>NAM</v>
      </c>
      <c r="G35" t="s">
        <v>201</v>
      </c>
      <c r="H35" t="s">
        <v>199</v>
      </c>
      <c r="I35" t="s">
        <v>200</v>
      </c>
      <c r="K35" t="s">
        <v>46</v>
      </c>
      <c r="L35" t="s">
        <v>202</v>
      </c>
      <c r="M35" t="str">
        <f t="shared" si="0"/>
        <v>Cabo Verde</v>
      </c>
      <c r="N35" t="str">
        <f t="shared" si="1"/>
        <v> Instituto Nacional de Estatistica</v>
      </c>
      <c r="O35" t="str">
        <f t="shared" si="2"/>
        <v>http://www.ine.cv/</v>
      </c>
    </row>
    <row r="36" spans="1:15">
      <c r="A36" t="s">
        <v>203</v>
      </c>
      <c r="B36" t="s">
        <v>76</v>
      </c>
      <c r="C36" t="s">
        <v>204</v>
      </c>
      <c r="D36" t="s">
        <v>205</v>
      </c>
      <c r="E36" t="str">
        <f>VLOOKUP(D36,$K$3:$L$220,1,FALSE)</f>
        <v>Niger</v>
      </c>
      <c r="F36" t="str">
        <f>VLOOKUP(D36,$K$3:$L$220,2,FALSE)</f>
        <v>NER</v>
      </c>
      <c r="G36" t="s">
        <v>205</v>
      </c>
      <c r="H36" t="s">
        <v>76</v>
      </c>
      <c r="I36" t="s">
        <v>204</v>
      </c>
      <c r="K36" t="s">
        <v>206</v>
      </c>
      <c r="L36" t="s">
        <v>207</v>
      </c>
      <c r="M36" t="str">
        <f t="shared" si="0"/>
        <v>Cambodia</v>
      </c>
      <c r="N36" t="str">
        <f t="shared" si="1"/>
        <v> National Institute of Statistics</v>
      </c>
      <c r="O36" t="str">
        <f t="shared" si="2"/>
        <v>http://www.nis.gov.kh/</v>
      </c>
    </row>
    <row r="37" spans="1:15">
      <c r="A37" t="s">
        <v>208</v>
      </c>
      <c r="B37" t="s">
        <v>140</v>
      </c>
      <c r="C37" t="s">
        <v>209</v>
      </c>
      <c r="D37" t="s">
        <v>210</v>
      </c>
      <c r="E37" t="str">
        <f>VLOOKUP(D37,$K$3:$L$220,1,FALSE)</f>
        <v>Nigeria</v>
      </c>
      <c r="F37" t="str">
        <f>VLOOKUP(D37,$K$3:$L$220,2,FALSE)</f>
        <v>NGA</v>
      </c>
      <c r="G37" t="s">
        <v>210</v>
      </c>
      <c r="H37" t="s">
        <v>140</v>
      </c>
      <c r="I37" t="s">
        <v>209</v>
      </c>
      <c r="K37" t="s">
        <v>52</v>
      </c>
      <c r="L37" t="s">
        <v>211</v>
      </c>
      <c r="M37" t="str">
        <f t="shared" si="0"/>
        <v>Cameroon</v>
      </c>
      <c r="N37" t="str">
        <f t="shared" si="1"/>
        <v> Institut Nationalde la Statistique</v>
      </c>
      <c r="O37" t="str">
        <f t="shared" si="2"/>
        <v>http://www.statistics-cameroon.org/</v>
      </c>
    </row>
    <row r="38" spans="1:15">
      <c r="A38" t="s">
        <v>212</v>
      </c>
      <c r="B38" t="s">
        <v>213</v>
      </c>
      <c r="C38" t="s">
        <v>214</v>
      </c>
      <c r="D38" t="s">
        <v>215</v>
      </c>
      <c r="E38" t="str">
        <f>VLOOKUP(D38,$K$3:$L$220,1,FALSE)</f>
        <v>Rwanda</v>
      </c>
      <c r="F38" t="str">
        <f>VLOOKUP(D38,$K$3:$L$220,2,FALSE)</f>
        <v>RWA</v>
      </c>
      <c r="G38" t="s">
        <v>215</v>
      </c>
      <c r="H38" t="s">
        <v>213</v>
      </c>
      <c r="I38" t="s">
        <v>214</v>
      </c>
      <c r="K38" t="s">
        <v>216</v>
      </c>
      <c r="L38" t="s">
        <v>217</v>
      </c>
      <c r="M38" t="str">
        <f t="shared" si="0"/>
        <v>Canada</v>
      </c>
      <c r="N38" t="str">
        <f t="shared" si="1"/>
        <v> Statistics Canada</v>
      </c>
      <c r="O38" t="str">
        <f t="shared" si="2"/>
        <v>http://www.statcan.gc.ca/</v>
      </c>
    </row>
    <row r="39" spans="1:15">
      <c r="A39" t="s">
        <v>218</v>
      </c>
      <c r="B39" t="s">
        <v>219</v>
      </c>
      <c r="C39" t="s">
        <v>220</v>
      </c>
      <c r="D39" t="s">
        <v>221</v>
      </c>
      <c r="E39" s="3" t="s">
        <v>222</v>
      </c>
      <c r="F39" s="3" t="s">
        <v>223</v>
      </c>
      <c r="G39" t="s">
        <v>221</v>
      </c>
      <c r="H39" t="s">
        <v>219</v>
      </c>
      <c r="I39" t="s">
        <v>220</v>
      </c>
      <c r="K39" t="s">
        <v>224</v>
      </c>
      <c r="L39" t="s">
        <v>225</v>
      </c>
      <c r="M39" t="str">
        <f t="shared" si="0"/>
        <v>Cayman Islands</v>
      </c>
      <c r="N39" t="str">
        <f t="shared" si="1"/>
        <v> Economics and Statistics Office</v>
      </c>
      <c r="O39" t="str">
        <f t="shared" si="2"/>
        <v>http://www.eso.ky/</v>
      </c>
    </row>
    <row r="40" spans="1:15">
      <c r="A40" t="s">
        <v>226</v>
      </c>
      <c r="B40" t="s">
        <v>227</v>
      </c>
      <c r="C40" t="s">
        <v>228</v>
      </c>
      <c r="D40" t="s">
        <v>229</v>
      </c>
      <c r="E40" t="str">
        <f>VLOOKUP(D40,$K$3:$L$220,1,FALSE)</f>
        <v>Senegal</v>
      </c>
      <c r="F40" t="str">
        <f>VLOOKUP(D40,$K$3:$L$220,2,FALSE)</f>
        <v>SEN</v>
      </c>
      <c r="G40" t="s">
        <v>229</v>
      </c>
      <c r="H40" t="s">
        <v>227</v>
      </c>
      <c r="I40" t="s">
        <v>228</v>
      </c>
      <c r="K40" t="s">
        <v>58</v>
      </c>
      <c r="L40" t="s">
        <v>230</v>
      </c>
      <c r="M40" t="str">
        <f t="shared" si="0"/>
        <v>Central African Republic</v>
      </c>
      <c r="N40" t="str">
        <f t="shared" si="1"/>
        <v> Direction Générale de la Statistiques, des Etudes Economiques et Sociales</v>
      </c>
      <c r="O40" t="str">
        <f t="shared" si="2"/>
        <v>http://www.stat-centrafrique.com/</v>
      </c>
    </row>
    <row r="41" spans="1:15">
      <c r="A41" t="s">
        <v>231</v>
      </c>
      <c r="B41" t="s">
        <v>140</v>
      </c>
      <c r="C41" t="s">
        <v>232</v>
      </c>
      <c r="D41" t="s">
        <v>233</v>
      </c>
      <c r="E41" t="str">
        <f>VLOOKUP(D41,$K$3:$L$220,1,FALSE)</f>
        <v>Seychelles</v>
      </c>
      <c r="F41" t="str">
        <f>VLOOKUP(D41,$K$3:$L$220,2,FALSE)</f>
        <v>SYC</v>
      </c>
      <c r="G41" t="s">
        <v>233</v>
      </c>
      <c r="H41" t="s">
        <v>140</v>
      </c>
      <c r="I41" t="s">
        <v>232</v>
      </c>
      <c r="K41" t="s">
        <v>64</v>
      </c>
      <c r="L41" t="s">
        <v>234</v>
      </c>
      <c r="M41" t="str">
        <f t="shared" si="0"/>
        <v>Chad</v>
      </c>
      <c r="N41" t="str">
        <f t="shared" si="1"/>
        <v> Institut National de la Statistique des Etudes Economiques et Demographiques</v>
      </c>
      <c r="O41" t="str">
        <f t="shared" si="2"/>
        <v>http://www.inseed-tchad.org/</v>
      </c>
    </row>
    <row r="42" spans="1:15">
      <c r="A42" t="s">
        <v>235</v>
      </c>
      <c r="B42" t="s">
        <v>236</v>
      </c>
      <c r="C42" t="s">
        <v>237</v>
      </c>
      <c r="D42" t="s">
        <v>238</v>
      </c>
      <c r="E42" t="str">
        <f>VLOOKUP(D42,$K$3:$L$220,1,FALSE)</f>
        <v>Sierra Leone</v>
      </c>
      <c r="F42" t="str">
        <f>VLOOKUP(D42,$K$3:$L$220,2,FALSE)</f>
        <v>SLE</v>
      </c>
      <c r="G42" t="s">
        <v>238</v>
      </c>
      <c r="H42" t="s">
        <v>236</v>
      </c>
      <c r="I42" t="s">
        <v>237</v>
      </c>
      <c r="K42" s="4" t="s">
        <v>239</v>
      </c>
      <c r="L42" s="4" t="s">
        <v>240</v>
      </c>
      <c r="M42" s="4" t="e">
        <f t="shared" si="0"/>
        <v>#N/A</v>
      </c>
      <c r="N42" s="4" t="e">
        <f t="shared" si="1"/>
        <v>#N/A</v>
      </c>
      <c r="O42" s="4" t="e">
        <f t="shared" si="2"/>
        <v>#N/A</v>
      </c>
    </row>
    <row r="43" spans="1:15">
      <c r="A43" t="s">
        <v>241</v>
      </c>
      <c r="B43" t="s">
        <v>242</v>
      </c>
      <c r="C43" t="s">
        <v>243</v>
      </c>
      <c r="D43" t="s">
        <v>244</v>
      </c>
      <c r="E43" t="str">
        <f>VLOOKUP(D43,$K$3:$L$220,1,FALSE)</f>
        <v>South Africa</v>
      </c>
      <c r="F43" t="str">
        <f>VLOOKUP(D43,$K$3:$L$220,2,FALSE)</f>
        <v>ZAF</v>
      </c>
      <c r="G43" t="s">
        <v>244</v>
      </c>
      <c r="H43" t="s">
        <v>242</v>
      </c>
      <c r="I43" t="s">
        <v>243</v>
      </c>
      <c r="K43" t="s">
        <v>245</v>
      </c>
      <c r="L43" t="s">
        <v>246</v>
      </c>
      <c r="M43" t="str">
        <f t="shared" si="0"/>
        <v>Chile</v>
      </c>
      <c r="N43" t="str">
        <f t="shared" si="1"/>
        <v> Instituto Nacional de Estadísticas</v>
      </c>
      <c r="O43" t="str">
        <f t="shared" si="2"/>
        <v>http://www.ine.cl/</v>
      </c>
    </row>
    <row r="44" spans="1:15">
      <c r="A44" t="s">
        <v>247</v>
      </c>
      <c r="B44" t="s">
        <v>140</v>
      </c>
      <c r="C44" t="s">
        <v>248</v>
      </c>
      <c r="D44" t="s">
        <v>249</v>
      </c>
      <c r="E44" t="str">
        <f>VLOOKUP(D44,$K$3:$L$220,1,FALSE)</f>
        <v>South Sudan</v>
      </c>
      <c r="F44" t="str">
        <f>VLOOKUP(D44,$K$3:$L$220,2,FALSE)</f>
        <v>SSD</v>
      </c>
      <c r="G44" t="s">
        <v>249</v>
      </c>
      <c r="H44" t="s">
        <v>140</v>
      </c>
      <c r="I44" t="s">
        <v>248</v>
      </c>
      <c r="K44" t="s">
        <v>250</v>
      </c>
      <c r="L44" t="s">
        <v>251</v>
      </c>
      <c r="M44" t="str">
        <f t="shared" si="0"/>
        <v>China</v>
      </c>
      <c r="N44" t="str">
        <f t="shared" si="1"/>
        <v> National Bureau of Statistics of China</v>
      </c>
      <c r="O44" t="str">
        <f t="shared" si="2"/>
        <v>http://www.stats.gov.cn/</v>
      </c>
    </row>
    <row r="45" spans="1:15">
      <c r="A45" t="s">
        <v>252</v>
      </c>
      <c r="B45" t="s">
        <v>253</v>
      </c>
      <c r="C45" t="s">
        <v>254</v>
      </c>
      <c r="D45" t="s">
        <v>255</v>
      </c>
      <c r="E45" s="4" t="e">
        <f>VLOOKUP(D45,$K$3:$L$220,1,FALSE)</f>
        <v>#N/A</v>
      </c>
      <c r="F45" s="4" t="e">
        <f>VLOOKUP(D45,$K$3:$L$220,2,FALSE)</f>
        <v>#N/A</v>
      </c>
      <c r="G45" t="s">
        <v>255</v>
      </c>
      <c r="H45" t="s">
        <v>253</v>
      </c>
      <c r="I45" t="s">
        <v>254</v>
      </c>
      <c r="K45" t="s">
        <v>256</v>
      </c>
      <c r="L45" t="s">
        <v>257</v>
      </c>
      <c r="M45" t="str">
        <f t="shared" si="0"/>
        <v>Colombia</v>
      </c>
      <c r="N45" t="str">
        <f t="shared" si="1"/>
        <v> Departamento Administrativo Nacional de Estadística (DANE)</v>
      </c>
      <c r="O45" t="str">
        <f t="shared" si="2"/>
        <v>http://www.dane.gov.co/</v>
      </c>
    </row>
    <row r="46" spans="1:15">
      <c r="A46" t="s">
        <v>258</v>
      </c>
      <c r="B46" t="s">
        <v>199</v>
      </c>
      <c r="C46" t="s">
        <v>259</v>
      </c>
      <c r="D46" t="s">
        <v>260</v>
      </c>
      <c r="E46" t="str">
        <f>VLOOKUP(D46,$K$3:$L$220,1,FALSE)</f>
        <v>Sudan</v>
      </c>
      <c r="F46" t="str">
        <f>VLOOKUP(D46,$K$3:$L$220,2,FALSE)</f>
        <v>SDN</v>
      </c>
      <c r="G46" t="s">
        <v>260</v>
      </c>
      <c r="H46" t="s">
        <v>199</v>
      </c>
      <c r="I46" t="s">
        <v>259</v>
      </c>
      <c r="K46" s="4" t="s">
        <v>261</v>
      </c>
      <c r="L46" s="4" t="s">
        <v>262</v>
      </c>
      <c r="M46" s="4" t="e">
        <f t="shared" si="0"/>
        <v>#N/A</v>
      </c>
      <c r="N46" s="4" t="e">
        <f t="shared" si="1"/>
        <v>#N/A</v>
      </c>
      <c r="O46" s="4" t="e">
        <f t="shared" si="2"/>
        <v>#N/A</v>
      </c>
    </row>
    <row r="47" spans="1:15">
      <c r="A47" t="s">
        <v>263</v>
      </c>
      <c r="B47" t="s">
        <v>28</v>
      </c>
      <c r="C47" t="s">
        <v>264</v>
      </c>
      <c r="D47" t="s">
        <v>265</v>
      </c>
      <c r="E47" s="3" t="s">
        <v>266</v>
      </c>
      <c r="F47" s="3" t="s">
        <v>267</v>
      </c>
      <c r="G47" t="s">
        <v>265</v>
      </c>
      <c r="H47" t="s">
        <v>28</v>
      </c>
      <c r="I47" t="s">
        <v>264</v>
      </c>
      <c r="K47" s="4" t="s">
        <v>268</v>
      </c>
      <c r="L47" s="4" t="s">
        <v>269</v>
      </c>
      <c r="M47" s="4" t="e">
        <f t="shared" si="0"/>
        <v>#N/A</v>
      </c>
      <c r="N47" s="4" t="e">
        <f t="shared" si="1"/>
        <v>#N/A</v>
      </c>
      <c r="O47" s="4" t="e">
        <f t="shared" si="2"/>
        <v>#N/A</v>
      </c>
    </row>
    <row r="48" spans="1:15">
      <c r="A48" t="s">
        <v>270</v>
      </c>
      <c r="B48" t="s">
        <v>271</v>
      </c>
      <c r="C48" t="s">
        <v>272</v>
      </c>
      <c r="D48" t="s">
        <v>273</v>
      </c>
      <c r="E48" t="str">
        <f>VLOOKUP(D48,$K$3:$L$220,1,FALSE)</f>
        <v>Togo</v>
      </c>
      <c r="F48" t="str">
        <f>VLOOKUP(D48,$K$3:$L$220,2,FALSE)</f>
        <v>TGO</v>
      </c>
      <c r="G48" t="s">
        <v>273</v>
      </c>
      <c r="H48" t="s">
        <v>271</v>
      </c>
      <c r="I48" t="s">
        <v>272</v>
      </c>
      <c r="K48" t="s">
        <v>71</v>
      </c>
      <c r="L48" t="s">
        <v>72</v>
      </c>
      <c r="M48" t="str">
        <f t="shared" si="0"/>
        <v>Congo</v>
      </c>
      <c r="N48" t="str">
        <f t="shared" si="1"/>
        <v> Centre National de la Statistique et des Etudes Economiques</v>
      </c>
      <c r="O48" t="str">
        <f t="shared" si="2"/>
        <v>http://www.cnsee.org/</v>
      </c>
    </row>
    <row r="49" spans="1:15">
      <c r="A49" t="s">
        <v>274</v>
      </c>
      <c r="B49" t="s">
        <v>275</v>
      </c>
      <c r="C49" t="s">
        <v>276</v>
      </c>
      <c r="D49" t="s">
        <v>277</v>
      </c>
      <c r="E49" t="str">
        <f>VLOOKUP(D49,$K$3:$L$220,1,FALSE)</f>
        <v>Tunisia</v>
      </c>
      <c r="F49" t="str">
        <f>VLOOKUP(D49,$K$3:$L$220,2,FALSE)</f>
        <v>TUN</v>
      </c>
      <c r="G49" t="s">
        <v>277</v>
      </c>
      <c r="H49" t="s">
        <v>275</v>
      </c>
      <c r="I49" t="s">
        <v>276</v>
      </c>
      <c r="K49" t="s">
        <v>278</v>
      </c>
      <c r="L49" t="s">
        <v>279</v>
      </c>
      <c r="M49" t="str">
        <f t="shared" si="0"/>
        <v>Costa Rica</v>
      </c>
      <c r="N49" t="str">
        <f t="shared" si="1"/>
        <v> Instituto Nacional de Estadística y Censos</v>
      </c>
      <c r="O49" t="str">
        <f t="shared" si="2"/>
        <v>http://www.inec.go.cr/</v>
      </c>
    </row>
    <row r="50" spans="1:15">
      <c r="A50" t="s">
        <v>280</v>
      </c>
      <c r="B50" t="s">
        <v>281</v>
      </c>
      <c r="C50" t="s">
        <v>282</v>
      </c>
      <c r="D50" t="s">
        <v>283</v>
      </c>
      <c r="E50" t="str">
        <f>VLOOKUP(D50,$K$3:$L$220,1,FALSE)</f>
        <v>Uganda</v>
      </c>
      <c r="F50" t="str">
        <f>VLOOKUP(D50,$K$3:$L$220,2,FALSE)</f>
        <v>UGA</v>
      </c>
      <c r="G50" t="s">
        <v>283</v>
      </c>
      <c r="H50" t="s">
        <v>281</v>
      </c>
      <c r="I50" t="s">
        <v>282</v>
      </c>
      <c r="K50" t="s">
        <v>79</v>
      </c>
      <c r="L50" t="s">
        <v>80</v>
      </c>
      <c r="M50" t="str">
        <f t="shared" si="0"/>
        <v>Cote d’Ivoire</v>
      </c>
      <c r="N50" t="str">
        <f t="shared" si="1"/>
        <v> Institut National de la Statistique</v>
      </c>
      <c r="O50" t="str">
        <f t="shared" si="2"/>
        <v>http://www.ins.ci/</v>
      </c>
    </row>
    <row r="51" spans="1:15">
      <c r="A51" t="s">
        <v>284</v>
      </c>
      <c r="B51" t="s">
        <v>140</v>
      </c>
      <c r="C51" t="s">
        <v>285</v>
      </c>
      <c r="D51" t="s">
        <v>286</v>
      </c>
      <c r="E51" s="3" t="s">
        <v>287</v>
      </c>
      <c r="F51" s="3" t="s">
        <v>288</v>
      </c>
      <c r="G51" t="s">
        <v>286</v>
      </c>
      <c r="H51" t="s">
        <v>140</v>
      </c>
      <c r="I51" t="s">
        <v>285</v>
      </c>
      <c r="K51" t="s">
        <v>289</v>
      </c>
      <c r="L51" t="s">
        <v>290</v>
      </c>
      <c r="M51" t="str">
        <f t="shared" si="0"/>
        <v>Croatia</v>
      </c>
      <c r="N51" t="str">
        <f t="shared" si="1"/>
        <v> Croatian Bureau of Statistics</v>
      </c>
      <c r="O51" t="str">
        <f t="shared" si="2"/>
        <v>http://www.dzs.hr/</v>
      </c>
    </row>
    <row r="52" spans="1:15">
      <c r="A52" t="s">
        <v>291</v>
      </c>
      <c r="B52" t="s">
        <v>292</v>
      </c>
      <c r="C52" t="s">
        <v>293</v>
      </c>
      <c r="D52" t="s">
        <v>294</v>
      </c>
      <c r="E52" t="str">
        <f>VLOOKUP(D52,$K$3:$L$220,1,FALSE)</f>
        <v>Zambia</v>
      </c>
      <c r="F52" t="str">
        <f>VLOOKUP(D52,$K$3:$L$220,2,FALSE)</f>
        <v>ZMB</v>
      </c>
      <c r="G52" t="s">
        <v>294</v>
      </c>
      <c r="H52" t="s">
        <v>292</v>
      </c>
      <c r="I52" t="s">
        <v>293</v>
      </c>
      <c r="K52" t="s">
        <v>295</v>
      </c>
      <c r="L52" t="s">
        <v>296</v>
      </c>
      <c r="M52" t="str">
        <f t="shared" si="0"/>
        <v>Cuba</v>
      </c>
      <c r="N52" t="str">
        <f t="shared" si="1"/>
        <v> Oficina Nacional de Estadísticas</v>
      </c>
      <c r="O52" t="str">
        <f t="shared" si="2"/>
        <v>http://www.one.cu/</v>
      </c>
    </row>
    <row r="53" spans="1:15">
      <c r="A53" t="s">
        <v>297</v>
      </c>
      <c r="B53" t="s">
        <v>298</v>
      </c>
      <c r="C53" t="s">
        <v>299</v>
      </c>
      <c r="D53" t="s">
        <v>300</v>
      </c>
      <c r="E53" t="str">
        <f>VLOOKUP(D53,$K$3:$L$220,1,FALSE)</f>
        <v>Zimbabwe</v>
      </c>
      <c r="F53" t="str">
        <f>VLOOKUP(D53,$K$3:$L$220,2,FALSE)</f>
        <v>ZWE</v>
      </c>
      <c r="G53" t="s">
        <v>300</v>
      </c>
      <c r="H53" t="s">
        <v>298</v>
      </c>
      <c r="I53" t="s">
        <v>299</v>
      </c>
      <c r="K53" t="s">
        <v>301</v>
      </c>
      <c r="L53" t="s">
        <v>302</v>
      </c>
      <c r="M53" t="str">
        <f t="shared" si="0"/>
        <v>Curaçao</v>
      </c>
      <c r="N53" t="str">
        <f t="shared" si="1"/>
        <v> Central Bureau of Statistics</v>
      </c>
      <c r="O53" t="str">
        <f t="shared" si="2"/>
        <v>http://www.cbs.cw/</v>
      </c>
    </row>
    <row r="54" spans="1:15">
      <c r="A54" t="s">
        <v>303</v>
      </c>
      <c r="B54" t="s">
        <v>304</v>
      </c>
      <c r="C54" t="s">
        <v>305</v>
      </c>
      <c r="D54" t="s">
        <v>303</v>
      </c>
      <c r="E54" s="4" t="e">
        <f>VLOOKUP(D54,$K$3:$L$220,1,FALSE)</f>
        <v>#N/A</v>
      </c>
      <c r="F54" s="4" t="e">
        <f>VLOOKUP(D54,$K$3:$L$220,2,FALSE)</f>
        <v>#N/A</v>
      </c>
      <c r="G54" t="s">
        <v>303</v>
      </c>
      <c r="H54" t="s">
        <v>304</v>
      </c>
      <c r="I54" t="s">
        <v>305</v>
      </c>
      <c r="K54" t="s">
        <v>306</v>
      </c>
      <c r="L54" t="s">
        <v>307</v>
      </c>
      <c r="M54" t="str">
        <f t="shared" si="0"/>
        <v>Cyprus</v>
      </c>
      <c r="N54" t="str">
        <f t="shared" si="1"/>
        <v> Statistical Service of the Republica of Cyprus</v>
      </c>
      <c r="O54" t="str">
        <f t="shared" si="2"/>
        <v>http://www.mof.gov.cy/mof/cystat/statistics.nsf</v>
      </c>
    </row>
    <row r="55" spans="1:15">
      <c r="A55" t="s">
        <v>53</v>
      </c>
      <c r="B55" t="s">
        <v>308</v>
      </c>
      <c r="C55" t="s">
        <v>309</v>
      </c>
      <c r="D55" t="s">
        <v>53</v>
      </c>
      <c r="E55" t="str">
        <f>VLOOKUP(D55,$K$3:$L$220,1,FALSE)</f>
        <v>Argentina</v>
      </c>
      <c r="F55" t="str">
        <f>VLOOKUP(D55,$K$3:$L$220,2,FALSE)</f>
        <v>ARG</v>
      </c>
      <c r="G55" t="s">
        <v>53</v>
      </c>
      <c r="H55" t="s">
        <v>308</v>
      </c>
      <c r="I55" t="s">
        <v>309</v>
      </c>
      <c r="K55" t="s">
        <v>310</v>
      </c>
      <c r="L55" t="s">
        <v>311</v>
      </c>
      <c r="M55" t="str">
        <f t="shared" si="0"/>
        <v>Czech Republic</v>
      </c>
      <c r="N55" t="str">
        <f t="shared" si="1"/>
        <v> Czech Statistical Office</v>
      </c>
      <c r="O55" t="str">
        <f t="shared" si="2"/>
        <v>http://www.czso.cz/</v>
      </c>
    </row>
    <row r="56" spans="1:15">
      <c r="A56" t="s">
        <v>65</v>
      </c>
      <c r="B56" t="s">
        <v>199</v>
      </c>
      <c r="C56" t="s">
        <v>312</v>
      </c>
      <c r="D56" t="s">
        <v>65</v>
      </c>
      <c r="E56" t="str">
        <f>VLOOKUP(D56,$K$3:$L$220,1,FALSE)</f>
        <v>Aruba</v>
      </c>
      <c r="F56" t="str">
        <f>VLOOKUP(D56,$K$3:$L$220,2,FALSE)</f>
        <v>ABW</v>
      </c>
      <c r="G56" t="s">
        <v>65</v>
      </c>
      <c r="H56" t="s">
        <v>199</v>
      </c>
      <c r="I56" t="s">
        <v>312</v>
      </c>
      <c r="K56" t="s">
        <v>313</v>
      </c>
      <c r="L56" t="s">
        <v>314</v>
      </c>
      <c r="M56" t="str">
        <f t="shared" si="0"/>
        <v>Denmark</v>
      </c>
      <c r="N56" t="str">
        <f t="shared" si="1"/>
        <v> Statistics Denmark</v>
      </c>
      <c r="O56" t="str">
        <f t="shared" si="2"/>
        <v>http://www.dst.dk/</v>
      </c>
    </row>
    <row r="57" spans="1:15">
      <c r="A57" t="s">
        <v>315</v>
      </c>
      <c r="B57" t="s">
        <v>316</v>
      </c>
      <c r="C57" t="s">
        <v>317</v>
      </c>
      <c r="D57" t="s">
        <v>315</v>
      </c>
      <c r="E57" s="3" t="s">
        <v>95</v>
      </c>
      <c r="F57" s="3" t="s">
        <v>96</v>
      </c>
      <c r="G57" t="s">
        <v>315</v>
      </c>
      <c r="H57" t="s">
        <v>316</v>
      </c>
      <c r="I57" t="s">
        <v>317</v>
      </c>
      <c r="K57" t="s">
        <v>86</v>
      </c>
      <c r="L57" t="s">
        <v>318</v>
      </c>
      <c r="M57" t="str">
        <f t="shared" si="0"/>
        <v>Djibouti</v>
      </c>
      <c r="N57" t="str">
        <f t="shared" si="1"/>
        <v> Ministère de l'Economie, des Finances et de la Planification, chargé de la Privatisation</v>
      </c>
      <c r="O57" t="str">
        <f t="shared" si="2"/>
        <v>http://www.ministere-finances.dj/</v>
      </c>
    </row>
    <row r="58" spans="1:15">
      <c r="A58" t="s">
        <v>113</v>
      </c>
      <c r="B58" t="s">
        <v>319</v>
      </c>
      <c r="C58" t="s">
        <v>320</v>
      </c>
      <c r="D58" t="s">
        <v>113</v>
      </c>
      <c r="E58" t="str">
        <f>VLOOKUP(D58,$K$3:$L$220,1,FALSE)</f>
        <v>Barbados</v>
      </c>
      <c r="F58" t="str">
        <f>VLOOKUP(D58,$K$3:$L$220,2,FALSE)</f>
        <v>BRB</v>
      </c>
      <c r="G58" t="s">
        <v>113</v>
      </c>
      <c r="H58" t="s">
        <v>319</v>
      </c>
      <c r="I58" t="s">
        <v>320</v>
      </c>
      <c r="K58" s="4" t="s">
        <v>321</v>
      </c>
      <c r="L58" s="4" t="s">
        <v>322</v>
      </c>
      <c r="M58" s="4" t="e">
        <f t="shared" si="0"/>
        <v>#N/A</v>
      </c>
      <c r="N58" s="4" t="e">
        <f t="shared" si="1"/>
        <v>#N/A</v>
      </c>
      <c r="O58" s="4" t="e">
        <f t="shared" si="2"/>
        <v>#N/A</v>
      </c>
    </row>
    <row r="59" spans="1:15">
      <c r="A59" t="s">
        <v>132</v>
      </c>
      <c r="B59" t="s">
        <v>323</v>
      </c>
      <c r="C59" t="s">
        <v>324</v>
      </c>
      <c r="D59" t="s">
        <v>132</v>
      </c>
      <c r="E59" t="str">
        <f>VLOOKUP(D59,$K$3:$L$220,1,FALSE)</f>
        <v>Belize</v>
      </c>
      <c r="F59" t="str">
        <f>VLOOKUP(D59,$K$3:$L$220,2,FALSE)</f>
        <v>BLZ</v>
      </c>
      <c r="G59" t="s">
        <v>132</v>
      </c>
      <c r="H59" t="s">
        <v>323</v>
      </c>
      <c r="I59" t="s">
        <v>324</v>
      </c>
      <c r="K59" t="s">
        <v>325</v>
      </c>
      <c r="L59" t="s">
        <v>326</v>
      </c>
      <c r="M59" t="str">
        <f t="shared" si="0"/>
        <v>Dominican Republic</v>
      </c>
      <c r="N59" t="str">
        <f t="shared" si="1"/>
        <v> Oficina Nacional de Estadística</v>
      </c>
      <c r="O59" t="str">
        <f t="shared" si="2"/>
        <v>http://www.one.gob.do/</v>
      </c>
    </row>
    <row r="60" spans="1:15">
      <c r="A60" t="s">
        <v>142</v>
      </c>
      <c r="B60" t="s">
        <v>316</v>
      </c>
      <c r="C60" t="s">
        <v>327</v>
      </c>
      <c r="D60" t="s">
        <v>142</v>
      </c>
      <c r="E60" t="str">
        <f>VLOOKUP(D60,$K$3:$L$220,1,FALSE)</f>
        <v>Bermuda</v>
      </c>
      <c r="F60" t="str">
        <f>VLOOKUP(D60,$K$3:$L$220,2,FALSE)</f>
        <v>BMU</v>
      </c>
      <c r="G60" t="s">
        <v>142</v>
      </c>
      <c r="H60" t="s">
        <v>316</v>
      </c>
      <c r="I60" t="s">
        <v>327</v>
      </c>
      <c r="K60" t="s">
        <v>328</v>
      </c>
      <c r="L60" t="s">
        <v>329</v>
      </c>
      <c r="M60" t="str">
        <f t="shared" si="0"/>
        <v>Ecuador</v>
      </c>
      <c r="N60" t="str">
        <f t="shared" si="1"/>
        <v> Instituto Nacional de Estadisticas y Censos</v>
      </c>
      <c r="O60" t="str">
        <f t="shared" si="2"/>
        <v>http://www.ecuadorencifras.gob.ec/</v>
      </c>
    </row>
    <row r="61" spans="1:15">
      <c r="A61" t="s">
        <v>154</v>
      </c>
      <c r="B61" t="s">
        <v>330</v>
      </c>
      <c r="C61" t="s">
        <v>331</v>
      </c>
      <c r="D61" t="s">
        <v>154</v>
      </c>
      <c r="E61" t="str">
        <f>VLOOKUP(D61,$K$3:$L$220,1,FALSE)</f>
        <v>Bolivia</v>
      </c>
      <c r="F61" t="str">
        <f>VLOOKUP(D61,$K$3:$L$220,2,FALSE)</f>
        <v>BOL</v>
      </c>
      <c r="G61" t="s">
        <v>154</v>
      </c>
      <c r="H61" t="s">
        <v>330</v>
      </c>
      <c r="I61" t="s">
        <v>331</v>
      </c>
      <c r="K61" t="s">
        <v>93</v>
      </c>
      <c r="L61" t="s">
        <v>94</v>
      </c>
      <c r="M61" t="str">
        <f t="shared" si="0"/>
        <v>Egypt</v>
      </c>
      <c r="N61" t="str">
        <f t="shared" si="1"/>
        <v> Central Agency for Public Mobilization and Statistics</v>
      </c>
      <c r="O61" t="str">
        <f t="shared" si="2"/>
        <v>http://www.capmas.gov.eg/</v>
      </c>
    </row>
    <row r="62" spans="1:15">
      <c r="A62" t="s">
        <v>169</v>
      </c>
      <c r="B62" t="s">
        <v>332</v>
      </c>
      <c r="C62" t="s">
        <v>333</v>
      </c>
      <c r="D62" t="s">
        <v>169</v>
      </c>
      <c r="E62" t="str">
        <f>VLOOKUP(D62,$K$3:$L$220,1,FALSE)</f>
        <v>Brazil</v>
      </c>
      <c r="F62" t="str">
        <f>VLOOKUP(D62,$K$3:$L$220,2,FALSE)</f>
        <v>BRA</v>
      </c>
      <c r="G62" t="s">
        <v>169</v>
      </c>
      <c r="H62" t="s">
        <v>332</v>
      </c>
      <c r="I62" t="s">
        <v>333</v>
      </c>
      <c r="K62" t="s">
        <v>334</v>
      </c>
      <c r="L62" t="s">
        <v>335</v>
      </c>
      <c r="M62" t="str">
        <f t="shared" si="0"/>
        <v>El Salvador</v>
      </c>
      <c r="N62" t="str">
        <f t="shared" si="1"/>
        <v> Dirección General de Estadística y Censos</v>
      </c>
      <c r="O62" t="str">
        <f t="shared" si="2"/>
        <v>http://www.digestyc.gob.sv/</v>
      </c>
    </row>
    <row r="63" spans="1:15">
      <c r="A63" t="s">
        <v>216</v>
      </c>
      <c r="B63" t="s">
        <v>336</v>
      </c>
      <c r="C63" t="s">
        <v>337</v>
      </c>
      <c r="D63" t="s">
        <v>216</v>
      </c>
      <c r="E63" t="str">
        <f>VLOOKUP(D63,$K$3:$L$220,1,FALSE)</f>
        <v>Canada</v>
      </c>
      <c r="F63" t="str">
        <f>VLOOKUP(D63,$K$3:$L$220,2,FALSE)</f>
        <v>CAN</v>
      </c>
      <c r="G63" t="s">
        <v>216</v>
      </c>
      <c r="H63" t="s">
        <v>336</v>
      </c>
      <c r="I63" t="s">
        <v>337</v>
      </c>
      <c r="K63" t="s">
        <v>100</v>
      </c>
      <c r="L63" t="s">
        <v>338</v>
      </c>
      <c r="M63" t="str">
        <f t="shared" si="0"/>
        <v>Equatorial Guinea</v>
      </c>
      <c r="N63" t="str">
        <f t="shared" si="1"/>
        <v> Dirección Général de Estadística y Cuentas Nacionales</v>
      </c>
      <c r="O63" t="str">
        <f t="shared" si="2"/>
        <v>http://www.inege.gq/</v>
      </c>
    </row>
    <row r="64" spans="1:15">
      <c r="A64" t="s">
        <v>339</v>
      </c>
      <c r="B64" t="s">
        <v>340</v>
      </c>
      <c r="C64" t="s">
        <v>341</v>
      </c>
      <c r="D64" t="s">
        <v>224</v>
      </c>
      <c r="E64" t="str">
        <f>VLOOKUP(D64,$K$3:$L$220,1,FALSE)</f>
        <v>Cayman Islands</v>
      </c>
      <c r="F64" t="str">
        <f>VLOOKUP(D64,$K$3:$L$220,2,FALSE)</f>
        <v>CYM</v>
      </c>
      <c r="G64" t="s">
        <v>224</v>
      </c>
      <c r="H64" t="s">
        <v>340</v>
      </c>
      <c r="I64" t="s">
        <v>341</v>
      </c>
      <c r="K64" s="4" t="s">
        <v>342</v>
      </c>
      <c r="L64" s="4" t="s">
        <v>343</v>
      </c>
      <c r="M64" s="4" t="e">
        <f t="shared" si="0"/>
        <v>#N/A</v>
      </c>
      <c r="N64" s="4" t="e">
        <f t="shared" si="1"/>
        <v>#N/A</v>
      </c>
      <c r="O64" s="4" t="e">
        <f t="shared" si="2"/>
        <v>#N/A</v>
      </c>
    </row>
    <row r="65" spans="1:15">
      <c r="A65" t="s">
        <v>245</v>
      </c>
      <c r="B65" t="s">
        <v>344</v>
      </c>
      <c r="C65" t="s">
        <v>345</v>
      </c>
      <c r="D65" t="s">
        <v>245</v>
      </c>
      <c r="E65" t="str">
        <f>VLOOKUP(D65,$K$3:$L$220,1,FALSE)</f>
        <v>Chile</v>
      </c>
      <c r="F65" t="str">
        <f>VLOOKUP(D65,$K$3:$L$220,2,FALSE)</f>
        <v>CHL</v>
      </c>
      <c r="G65" t="s">
        <v>245</v>
      </c>
      <c r="H65" t="s">
        <v>344</v>
      </c>
      <c r="I65" t="s">
        <v>345</v>
      </c>
      <c r="K65" t="s">
        <v>346</v>
      </c>
      <c r="L65" t="s">
        <v>347</v>
      </c>
      <c r="M65" t="str">
        <f t="shared" si="0"/>
        <v>Estonia</v>
      </c>
      <c r="N65" t="str">
        <f t="shared" si="1"/>
        <v> Statistics Estonia</v>
      </c>
      <c r="O65" t="str">
        <f t="shared" si="2"/>
        <v>http://www.stat.ee/</v>
      </c>
    </row>
    <row r="66" spans="1:15">
      <c r="A66" t="s">
        <v>256</v>
      </c>
      <c r="B66" t="s">
        <v>348</v>
      </c>
      <c r="C66" t="s">
        <v>349</v>
      </c>
      <c r="D66" t="s">
        <v>256</v>
      </c>
      <c r="E66" t="str">
        <f>VLOOKUP(D66,$K$3:$L$220,1,FALSE)</f>
        <v>Colombia</v>
      </c>
      <c r="F66" t="str">
        <f>VLOOKUP(D66,$K$3:$L$220,2,FALSE)</f>
        <v>COL</v>
      </c>
      <c r="G66" t="s">
        <v>256</v>
      </c>
      <c r="H66" t="s">
        <v>348</v>
      </c>
      <c r="I66" t="s">
        <v>349</v>
      </c>
      <c r="K66" t="s">
        <v>266</v>
      </c>
      <c r="L66" t="s">
        <v>267</v>
      </c>
      <c r="M66" t="str">
        <f t="shared" si="0"/>
        <v>Swaziland</v>
      </c>
      <c r="N66" t="str">
        <f t="shared" si="1"/>
        <v> Central Statistical Office</v>
      </c>
      <c r="O66" t="str">
        <f t="shared" si="2"/>
        <v>http://www.swazistats.org.sz/</v>
      </c>
    </row>
    <row r="67" spans="1:15">
      <c r="A67" t="s">
        <v>278</v>
      </c>
      <c r="B67" t="s">
        <v>308</v>
      </c>
      <c r="C67" t="s">
        <v>350</v>
      </c>
      <c r="D67" t="s">
        <v>278</v>
      </c>
      <c r="E67" t="str">
        <f>VLOOKUP(D67,$K$3:$L$220,1,FALSE)</f>
        <v>Costa Rica</v>
      </c>
      <c r="F67" t="str">
        <f>VLOOKUP(D67,$K$3:$L$220,2,FALSE)</f>
        <v>CRI</v>
      </c>
      <c r="G67" t="s">
        <v>278</v>
      </c>
      <c r="H67" t="s">
        <v>308</v>
      </c>
      <c r="I67" t="s">
        <v>350</v>
      </c>
      <c r="K67" t="s">
        <v>106</v>
      </c>
      <c r="L67" t="s">
        <v>351</v>
      </c>
      <c r="M67" t="str">
        <f t="shared" si="0"/>
        <v>Ethiopia</v>
      </c>
      <c r="N67" t="str">
        <f t="shared" si="1"/>
        <v> Central Statistical Agency of Ethiopia</v>
      </c>
      <c r="O67" t="str">
        <f t="shared" si="2"/>
        <v>http://www.csa.gov.et/</v>
      </c>
    </row>
    <row r="68" spans="1:15">
      <c r="A68" t="s">
        <v>295</v>
      </c>
      <c r="B68" t="s">
        <v>352</v>
      </c>
      <c r="C68" t="s">
        <v>353</v>
      </c>
      <c r="D68" t="s">
        <v>295</v>
      </c>
      <c r="E68" t="str">
        <f>VLOOKUP(D68,$K$3:$L$220,1,FALSE)</f>
        <v>Cuba</v>
      </c>
      <c r="F68" t="str">
        <f>VLOOKUP(D68,$K$3:$L$220,2,FALSE)</f>
        <v>CUB</v>
      </c>
      <c r="G68" t="s">
        <v>295</v>
      </c>
      <c r="H68" t="s">
        <v>352</v>
      </c>
      <c r="I68" t="s">
        <v>353</v>
      </c>
      <c r="K68" t="s">
        <v>354</v>
      </c>
      <c r="L68" t="s">
        <v>355</v>
      </c>
      <c r="M68" t="str">
        <f t="shared" ref="M68:M131" si="3">VLOOKUP(L68,$F$3:$I$219,2,FALSE)</f>
        <v>Faroe Islands</v>
      </c>
      <c r="N68" t="str">
        <f t="shared" ref="N68:N131" si="4">VLOOKUP(L68,$F$3:$I$219,3,FALSE)</f>
        <v> Statistics Faroe Islands</v>
      </c>
      <c r="O68" t="str">
        <f t="shared" ref="O68:O131" si="5">VLOOKUP(L68,$F$3:$I$219,4,FALSE)</f>
        <v>http://www.hagstova.fo/</v>
      </c>
    </row>
    <row r="69" spans="1:15">
      <c r="A69" t="s">
        <v>301</v>
      </c>
      <c r="B69" t="s">
        <v>199</v>
      </c>
      <c r="C69" t="s">
        <v>356</v>
      </c>
      <c r="D69" t="s">
        <v>301</v>
      </c>
      <c r="E69" t="str">
        <f>VLOOKUP(D69,$K$3:$L$220,1,FALSE)</f>
        <v>Curaçao</v>
      </c>
      <c r="F69" t="str">
        <f>VLOOKUP(D69,$K$3:$L$220,2,FALSE)</f>
        <v>CUW</v>
      </c>
      <c r="G69" t="s">
        <v>301</v>
      </c>
      <c r="H69" t="s">
        <v>199</v>
      </c>
      <c r="I69" t="s">
        <v>356</v>
      </c>
      <c r="K69" t="s">
        <v>357</v>
      </c>
      <c r="L69" t="s">
        <v>358</v>
      </c>
      <c r="M69" t="str">
        <f t="shared" si="3"/>
        <v>Fiji</v>
      </c>
      <c r="N69" t="str">
        <f t="shared" si="4"/>
        <v> Fiji Islands Bureau of Statistics</v>
      </c>
      <c r="O69" t="str">
        <f t="shared" si="5"/>
        <v>http://www.statsfiji.gov.fj/</v>
      </c>
    </row>
    <row r="70" spans="1:15">
      <c r="A70" t="s">
        <v>325</v>
      </c>
      <c r="B70" t="s">
        <v>359</v>
      </c>
      <c r="C70" t="s">
        <v>360</v>
      </c>
      <c r="D70" t="s">
        <v>325</v>
      </c>
      <c r="E70" t="str">
        <f>VLOOKUP(D70,$K$3:$L$220,1,FALSE)</f>
        <v>Dominican Republic</v>
      </c>
      <c r="F70" t="str">
        <f>VLOOKUP(D70,$K$3:$L$220,2,FALSE)</f>
        <v>DOM</v>
      </c>
      <c r="G70" t="s">
        <v>325</v>
      </c>
      <c r="H70" t="s">
        <v>359</v>
      </c>
      <c r="I70" t="s">
        <v>360</v>
      </c>
      <c r="K70" t="s">
        <v>361</v>
      </c>
      <c r="L70" t="s">
        <v>362</v>
      </c>
      <c r="M70" t="str">
        <f t="shared" si="3"/>
        <v>Finland</v>
      </c>
      <c r="N70" t="str">
        <f t="shared" si="4"/>
        <v> Statistics Finland</v>
      </c>
      <c r="O70" t="str">
        <f t="shared" si="5"/>
        <v>http://www.stat.fi/</v>
      </c>
    </row>
    <row r="71" spans="1:15">
      <c r="A71" t="s">
        <v>328</v>
      </c>
      <c r="B71" t="s">
        <v>363</v>
      </c>
      <c r="C71" t="s">
        <v>364</v>
      </c>
      <c r="D71" t="s">
        <v>328</v>
      </c>
      <c r="E71" t="str">
        <f>VLOOKUP(D71,$K$3:$L$220,1,FALSE)</f>
        <v>Ecuador</v>
      </c>
      <c r="F71" t="str">
        <f>VLOOKUP(D71,$K$3:$L$220,2,FALSE)</f>
        <v>ECU</v>
      </c>
      <c r="G71" t="s">
        <v>328</v>
      </c>
      <c r="H71" t="s">
        <v>363</v>
      </c>
      <c r="I71" t="s">
        <v>364</v>
      </c>
      <c r="K71" t="s">
        <v>365</v>
      </c>
      <c r="L71" t="s">
        <v>366</v>
      </c>
      <c r="M71" t="str">
        <f t="shared" si="3"/>
        <v>France</v>
      </c>
      <c r="N71" t="str">
        <f t="shared" si="4"/>
        <v> Institut National de la Statistique et des Études Économiques</v>
      </c>
      <c r="O71" t="str">
        <f t="shared" si="5"/>
        <v>http://www.insee.fr/</v>
      </c>
    </row>
    <row r="72" spans="1:15">
      <c r="A72" t="s">
        <v>334</v>
      </c>
      <c r="B72" t="s">
        <v>367</v>
      </c>
      <c r="C72" t="s">
        <v>368</v>
      </c>
      <c r="D72" t="s">
        <v>334</v>
      </c>
      <c r="E72" t="str">
        <f>VLOOKUP(D72,$K$3:$L$220,1,FALSE)</f>
        <v>El Salvador</v>
      </c>
      <c r="F72" t="str">
        <f>VLOOKUP(D72,$K$3:$L$220,2,FALSE)</f>
        <v>SLV</v>
      </c>
      <c r="G72" t="s">
        <v>334</v>
      </c>
      <c r="H72" t="s">
        <v>367</v>
      </c>
      <c r="I72" t="s">
        <v>368</v>
      </c>
      <c r="K72" s="4" t="s">
        <v>369</v>
      </c>
      <c r="L72" s="4" t="s">
        <v>370</v>
      </c>
      <c r="M72" s="4" t="e">
        <f t="shared" si="3"/>
        <v>#N/A</v>
      </c>
      <c r="N72" s="4" t="e">
        <f t="shared" si="4"/>
        <v>#N/A</v>
      </c>
      <c r="O72" s="4" t="e">
        <f t="shared" si="5"/>
        <v>#N/A</v>
      </c>
    </row>
    <row r="73" spans="1:15">
      <c r="A73" t="s">
        <v>371</v>
      </c>
      <c r="B73" t="s">
        <v>330</v>
      </c>
      <c r="C73" t="s">
        <v>372</v>
      </c>
      <c r="D73" t="s">
        <v>371</v>
      </c>
      <c r="E73" t="str">
        <f>VLOOKUP(D73,$K$3:$L$220,1,FALSE)</f>
        <v>Guatemala</v>
      </c>
      <c r="F73" t="str">
        <f>VLOOKUP(D73,$K$3:$L$220,2,FALSE)</f>
        <v>GTM</v>
      </c>
      <c r="G73" t="s">
        <v>371</v>
      </c>
      <c r="H73" t="s">
        <v>330</v>
      </c>
      <c r="I73" t="s">
        <v>372</v>
      </c>
      <c r="K73" t="s">
        <v>112</v>
      </c>
      <c r="L73" t="s">
        <v>373</v>
      </c>
      <c r="M73" t="str">
        <f t="shared" si="3"/>
        <v>Gabon</v>
      </c>
      <c r="N73" t="str">
        <f t="shared" si="4"/>
        <v> Direction Générale des Statistiques</v>
      </c>
      <c r="O73" t="str">
        <f t="shared" si="5"/>
        <v>http://www.stat-gabon.org/</v>
      </c>
    </row>
    <row r="74" spans="1:15">
      <c r="A74" t="s">
        <v>374</v>
      </c>
      <c r="B74" t="s">
        <v>375</v>
      </c>
      <c r="C74" t="s">
        <v>376</v>
      </c>
      <c r="D74" t="s">
        <v>374</v>
      </c>
      <c r="E74" t="str">
        <f>VLOOKUP(D74,$K$3:$L$220,1,FALSE)</f>
        <v>Guyana</v>
      </c>
      <c r="F74" t="str">
        <f>VLOOKUP(D74,$K$3:$L$220,2,FALSE)</f>
        <v>GUY</v>
      </c>
      <c r="G74" t="s">
        <v>374</v>
      </c>
      <c r="H74" t="s">
        <v>375</v>
      </c>
      <c r="I74" t="s">
        <v>376</v>
      </c>
      <c r="K74" t="s">
        <v>119</v>
      </c>
      <c r="L74" t="s">
        <v>120</v>
      </c>
      <c r="M74" t="str">
        <f t="shared" si="3"/>
        <v>Gambia</v>
      </c>
      <c r="N74" t="str">
        <f t="shared" si="4"/>
        <v> Gambia Bureau of Statistics</v>
      </c>
      <c r="O74" t="str">
        <f t="shared" si="5"/>
        <v>http://www.gbos.gm/</v>
      </c>
    </row>
    <row r="75" spans="1:15">
      <c r="A75" t="s">
        <v>377</v>
      </c>
      <c r="B75" t="s">
        <v>378</v>
      </c>
      <c r="C75" t="s">
        <v>379</v>
      </c>
      <c r="D75" t="s">
        <v>377</v>
      </c>
      <c r="E75" t="str">
        <f>VLOOKUP(D75,$K$3:$L$220,1,FALSE)</f>
        <v>Haiti</v>
      </c>
      <c r="F75" t="str">
        <f>VLOOKUP(D75,$K$3:$L$220,2,FALSE)</f>
        <v>HTI</v>
      </c>
      <c r="G75" t="s">
        <v>377</v>
      </c>
      <c r="H75" t="s">
        <v>378</v>
      </c>
      <c r="I75" t="s">
        <v>379</v>
      </c>
      <c r="K75" t="s">
        <v>380</v>
      </c>
      <c r="L75" t="s">
        <v>381</v>
      </c>
      <c r="M75" t="str">
        <f t="shared" si="3"/>
        <v>Georgia</v>
      </c>
      <c r="N75" t="str">
        <f t="shared" si="4"/>
        <v> National Statistics Office of Georgia</v>
      </c>
      <c r="O75" t="str">
        <f t="shared" si="5"/>
        <v>http://www.geostat.ge/index.php?lang=eng</v>
      </c>
    </row>
    <row r="76" spans="1:15">
      <c r="A76" t="s">
        <v>382</v>
      </c>
      <c r="B76" t="s">
        <v>383</v>
      </c>
      <c r="C76" t="s">
        <v>384</v>
      </c>
      <c r="D76" t="s">
        <v>382</v>
      </c>
      <c r="E76" t="str">
        <f>VLOOKUP(D76,$K$3:$L$220,1,FALSE)</f>
        <v>Honduras</v>
      </c>
      <c r="F76" t="str">
        <f>VLOOKUP(D76,$K$3:$L$220,2,FALSE)</f>
        <v>HND</v>
      </c>
      <c r="G76" t="s">
        <v>382</v>
      </c>
      <c r="H76" t="s">
        <v>383</v>
      </c>
      <c r="I76" t="s">
        <v>384</v>
      </c>
      <c r="K76" t="s">
        <v>385</v>
      </c>
      <c r="L76" t="s">
        <v>386</v>
      </c>
      <c r="M76" t="str">
        <f t="shared" si="3"/>
        <v>Germany</v>
      </c>
      <c r="N76" t="str">
        <f t="shared" si="4"/>
        <v> Federal Statistical Office</v>
      </c>
      <c r="O76" t="str">
        <f t="shared" si="5"/>
        <v>http://www.destatis.de/</v>
      </c>
    </row>
    <row r="77" spans="1:15">
      <c r="A77" t="s">
        <v>387</v>
      </c>
      <c r="B77" t="s">
        <v>388</v>
      </c>
      <c r="C77" t="s">
        <v>389</v>
      </c>
      <c r="D77" t="s">
        <v>387</v>
      </c>
      <c r="E77" t="str">
        <f>VLOOKUP(D77,$K$3:$L$220,1,FALSE)</f>
        <v>Jamaica</v>
      </c>
      <c r="F77" t="str">
        <f>VLOOKUP(D77,$K$3:$L$220,2,FALSE)</f>
        <v>JAM</v>
      </c>
      <c r="G77" t="s">
        <v>387</v>
      </c>
      <c r="H77" t="s">
        <v>388</v>
      </c>
      <c r="I77" t="s">
        <v>389</v>
      </c>
      <c r="K77" t="s">
        <v>123</v>
      </c>
      <c r="L77" t="s">
        <v>390</v>
      </c>
      <c r="M77" t="str">
        <f t="shared" si="3"/>
        <v>Ghana</v>
      </c>
      <c r="N77" t="str">
        <f t="shared" si="4"/>
        <v> Ghana Statistical Services</v>
      </c>
      <c r="O77" t="str">
        <f t="shared" si="5"/>
        <v>http://www.statsghana.gov.gh/</v>
      </c>
    </row>
    <row r="78" spans="1:15">
      <c r="A78" t="s">
        <v>391</v>
      </c>
      <c r="B78" t="s">
        <v>392</v>
      </c>
      <c r="C78" t="s">
        <v>393</v>
      </c>
      <c r="D78" t="s">
        <v>391</v>
      </c>
      <c r="E78" t="str">
        <f>VLOOKUP(D78,$K$3:$L$220,1,FALSE)</f>
        <v>Mexico</v>
      </c>
      <c r="F78" t="str">
        <f>VLOOKUP(D78,$K$3:$L$220,2,FALSE)</f>
        <v>MEX</v>
      </c>
      <c r="G78" t="s">
        <v>391</v>
      </c>
      <c r="H78" t="s">
        <v>392</v>
      </c>
      <c r="I78" t="s">
        <v>393</v>
      </c>
      <c r="K78" s="4" t="s">
        <v>394</v>
      </c>
      <c r="L78" s="4" t="s">
        <v>395</v>
      </c>
      <c r="M78" s="4" t="e">
        <f t="shared" si="3"/>
        <v>#N/A</v>
      </c>
      <c r="N78" s="4" t="e">
        <f t="shared" si="4"/>
        <v>#N/A</v>
      </c>
      <c r="O78" s="4" t="e">
        <f t="shared" si="5"/>
        <v>#N/A</v>
      </c>
    </row>
    <row r="79" spans="1:15">
      <c r="A79" t="s">
        <v>396</v>
      </c>
      <c r="B79" t="s">
        <v>397</v>
      </c>
      <c r="C79" t="s">
        <v>398</v>
      </c>
      <c r="D79" t="s">
        <v>396</v>
      </c>
      <c r="E79" t="str">
        <f>VLOOKUP(D79,$K$3:$L$220,1,FALSE)</f>
        <v>Nicaragua</v>
      </c>
      <c r="F79" t="str">
        <f>VLOOKUP(D79,$K$3:$L$220,2,FALSE)</f>
        <v>NIC</v>
      </c>
      <c r="G79" t="s">
        <v>396</v>
      </c>
      <c r="H79" t="s">
        <v>397</v>
      </c>
      <c r="I79" t="s">
        <v>398</v>
      </c>
      <c r="K79" t="s">
        <v>399</v>
      </c>
      <c r="L79" t="s">
        <v>400</v>
      </c>
      <c r="M79" t="str">
        <f t="shared" si="3"/>
        <v>Greece</v>
      </c>
      <c r="N79" t="str">
        <f t="shared" si="4"/>
        <v> National Statistical Service of Greece</v>
      </c>
      <c r="O79" t="str">
        <f t="shared" si="5"/>
        <v>http://www.statistics.gr/</v>
      </c>
    </row>
    <row r="80" spans="1:15">
      <c r="A80" t="s">
        <v>401</v>
      </c>
      <c r="B80" t="s">
        <v>402</v>
      </c>
      <c r="C80" t="s">
        <v>403</v>
      </c>
      <c r="D80" t="s">
        <v>401</v>
      </c>
      <c r="E80" t="str">
        <f>VLOOKUP(D80,$K$3:$L$220,1,FALSE)</f>
        <v>Panama</v>
      </c>
      <c r="F80" t="str">
        <f>VLOOKUP(D80,$K$3:$L$220,2,FALSE)</f>
        <v>PAN</v>
      </c>
      <c r="G80" t="s">
        <v>401</v>
      </c>
      <c r="H80" t="s">
        <v>402</v>
      </c>
      <c r="I80" t="s">
        <v>403</v>
      </c>
      <c r="K80" t="s">
        <v>404</v>
      </c>
      <c r="L80" t="s">
        <v>405</v>
      </c>
      <c r="M80" t="str">
        <f t="shared" si="3"/>
        <v>Greenland</v>
      </c>
      <c r="N80" t="str">
        <f t="shared" si="4"/>
        <v> Statistics Greenland</v>
      </c>
      <c r="O80" t="str">
        <f t="shared" si="5"/>
        <v>http://www.stat.gl/</v>
      </c>
    </row>
    <row r="81" spans="1:15">
      <c r="A81" t="s">
        <v>406</v>
      </c>
      <c r="B81" t="s">
        <v>407</v>
      </c>
      <c r="C81" t="s">
        <v>408</v>
      </c>
      <c r="D81" t="s">
        <v>406</v>
      </c>
      <c r="E81" t="str">
        <f>VLOOKUP(D81,$K$3:$L$220,1,FALSE)</f>
        <v>Paraguay</v>
      </c>
      <c r="F81" t="str">
        <f>VLOOKUP(D81,$K$3:$L$220,2,FALSE)</f>
        <v>PRY</v>
      </c>
      <c r="G81" t="s">
        <v>406</v>
      </c>
      <c r="H81" t="s">
        <v>407</v>
      </c>
      <c r="I81" t="s">
        <v>408</v>
      </c>
      <c r="K81" s="4" t="s">
        <v>409</v>
      </c>
      <c r="L81" s="4" t="s">
        <v>410</v>
      </c>
      <c r="M81" s="4" t="e">
        <f t="shared" si="3"/>
        <v>#N/A</v>
      </c>
      <c r="N81" s="4" t="e">
        <f t="shared" si="4"/>
        <v>#N/A</v>
      </c>
      <c r="O81" s="4" t="e">
        <f t="shared" si="5"/>
        <v>#N/A</v>
      </c>
    </row>
    <row r="82" spans="1:15">
      <c r="A82" t="s">
        <v>411</v>
      </c>
      <c r="B82" t="s">
        <v>412</v>
      </c>
      <c r="C82" t="s">
        <v>413</v>
      </c>
      <c r="D82" t="s">
        <v>411</v>
      </c>
      <c r="E82" t="str">
        <f>VLOOKUP(D82,$K$3:$L$220,1,FALSE)</f>
        <v>Peru</v>
      </c>
      <c r="F82" t="str">
        <f>VLOOKUP(D82,$K$3:$L$220,2,FALSE)</f>
        <v>PER</v>
      </c>
      <c r="G82" t="s">
        <v>411</v>
      </c>
      <c r="H82" t="s">
        <v>412</v>
      </c>
      <c r="I82" t="s">
        <v>413</v>
      </c>
      <c r="K82" t="s">
        <v>414</v>
      </c>
      <c r="L82" t="s">
        <v>415</v>
      </c>
      <c r="M82" t="str">
        <f t="shared" si="3"/>
        <v>Guam</v>
      </c>
      <c r="N82" t="str">
        <f t="shared" si="4"/>
        <v> Bureau of Statistics and Plans</v>
      </c>
      <c r="O82" t="str">
        <f t="shared" si="5"/>
        <v>http://www.bsp.guam.gov/</v>
      </c>
    </row>
    <row r="83" spans="1:15">
      <c r="A83" t="s">
        <v>416</v>
      </c>
      <c r="B83" t="s">
        <v>417</v>
      </c>
      <c r="C83" t="s">
        <v>418</v>
      </c>
      <c r="D83" t="s">
        <v>416</v>
      </c>
      <c r="E83" s="3" t="s">
        <v>419</v>
      </c>
      <c r="F83" s="3" t="s">
        <v>420</v>
      </c>
      <c r="G83" t="s">
        <v>416</v>
      </c>
      <c r="H83" t="s">
        <v>417</v>
      </c>
      <c r="I83" t="s">
        <v>418</v>
      </c>
      <c r="K83" t="s">
        <v>371</v>
      </c>
      <c r="L83" t="s">
        <v>421</v>
      </c>
      <c r="M83" t="str">
        <f t="shared" si="3"/>
        <v>Guatemala</v>
      </c>
      <c r="N83" t="str">
        <f t="shared" si="4"/>
        <v> Instituto Nacional de Estadística</v>
      </c>
      <c r="O83" t="str">
        <f t="shared" si="5"/>
        <v>http://www.ine.gob.gt/</v>
      </c>
    </row>
    <row r="84" spans="1:15">
      <c r="A84" t="s">
        <v>422</v>
      </c>
      <c r="B84" t="s">
        <v>316</v>
      </c>
      <c r="C84" t="s">
        <v>423</v>
      </c>
      <c r="D84" t="s">
        <v>422</v>
      </c>
      <c r="E84" s="3" t="s">
        <v>424</v>
      </c>
      <c r="F84" s="3" t="s">
        <v>425</v>
      </c>
      <c r="G84" t="s">
        <v>422</v>
      </c>
      <c r="H84" t="s">
        <v>316</v>
      </c>
      <c r="I84" t="s">
        <v>423</v>
      </c>
      <c r="K84" t="s">
        <v>131</v>
      </c>
      <c r="L84" t="s">
        <v>426</v>
      </c>
      <c r="M84" t="str">
        <f t="shared" si="3"/>
        <v>Guinea</v>
      </c>
      <c r="N84" t="str">
        <f t="shared" si="4"/>
        <v> Direction Nationale de la Statistique</v>
      </c>
      <c r="O84" t="str">
        <f t="shared" si="5"/>
        <v>http://www.stat-guinee.org/</v>
      </c>
    </row>
    <row r="85" spans="1:15">
      <c r="A85" t="s">
        <v>427</v>
      </c>
      <c r="B85" t="s">
        <v>428</v>
      </c>
      <c r="C85" t="s">
        <v>429</v>
      </c>
      <c r="D85" t="s">
        <v>427</v>
      </c>
      <c r="E85" t="str">
        <f>VLOOKUP(D85,$K$3:$L$220,1,FALSE)</f>
        <v>Suriname</v>
      </c>
      <c r="F85" t="str">
        <f>VLOOKUP(D85,$K$3:$L$220,2,FALSE)</f>
        <v>SUR</v>
      </c>
      <c r="G85" t="s">
        <v>427</v>
      </c>
      <c r="H85" t="s">
        <v>428</v>
      </c>
      <c r="I85" t="s">
        <v>429</v>
      </c>
      <c r="K85" t="s">
        <v>137</v>
      </c>
      <c r="L85" t="s">
        <v>430</v>
      </c>
      <c r="M85" t="str">
        <f t="shared" si="3"/>
        <v>Guinea-Bissau</v>
      </c>
      <c r="N85" t="str">
        <f t="shared" si="4"/>
        <v> Instituto Nacional de Estatística e Censos</v>
      </c>
      <c r="O85" t="str">
        <f t="shared" si="5"/>
        <v>http://www.stat-guinebissau.com/</v>
      </c>
    </row>
    <row r="86" spans="1:15">
      <c r="A86" t="s">
        <v>431</v>
      </c>
      <c r="B86" t="s">
        <v>28</v>
      </c>
      <c r="C86" t="s">
        <v>432</v>
      </c>
      <c r="D86" t="s">
        <v>431</v>
      </c>
      <c r="E86" t="str">
        <f>VLOOKUP(D86,$K$3:$L$220,1,FALSE)</f>
        <v>Trinidad and Tobago</v>
      </c>
      <c r="F86" t="str">
        <f>VLOOKUP(D86,$K$3:$L$220,2,FALSE)</f>
        <v>TTO</v>
      </c>
      <c r="G86" t="s">
        <v>431</v>
      </c>
      <c r="H86" t="s">
        <v>28</v>
      </c>
      <c r="I86" t="s">
        <v>432</v>
      </c>
      <c r="K86" t="s">
        <v>374</v>
      </c>
      <c r="L86" t="s">
        <v>433</v>
      </c>
      <c r="M86" t="str">
        <f t="shared" si="3"/>
        <v>Guyana</v>
      </c>
      <c r="N86" t="str">
        <f t="shared" si="4"/>
        <v> Bureau of Statistics</v>
      </c>
      <c r="O86" t="str">
        <f t="shared" si="5"/>
        <v>http://www.statisticsguyana.gov.gy/</v>
      </c>
    </row>
    <row r="87" spans="1:15">
      <c r="A87" t="s">
        <v>434</v>
      </c>
      <c r="B87" t="s">
        <v>435</v>
      </c>
      <c r="C87" t="s">
        <v>436</v>
      </c>
      <c r="D87" t="s">
        <v>437</v>
      </c>
      <c r="E87" t="str">
        <f>VLOOKUP(D87,$K$3:$L$220,1,FALSE)</f>
        <v>Turks and Caicos Islands</v>
      </c>
      <c r="F87" t="str">
        <f>VLOOKUP(D87,$K$3:$L$220,2,FALSE)</f>
        <v>TCA</v>
      </c>
      <c r="G87" t="s">
        <v>437</v>
      </c>
      <c r="H87" t="s">
        <v>435</v>
      </c>
      <c r="I87" t="s">
        <v>436</v>
      </c>
      <c r="K87" t="s">
        <v>377</v>
      </c>
      <c r="L87" t="s">
        <v>438</v>
      </c>
      <c r="M87" t="str">
        <f t="shared" si="3"/>
        <v>Haiti</v>
      </c>
      <c r="N87" t="str">
        <f t="shared" si="4"/>
        <v> Institut Haïtien de Statistique  et d’Informatique</v>
      </c>
      <c r="O87" t="str">
        <f t="shared" si="5"/>
        <v>http://www.ihsi.ht/</v>
      </c>
    </row>
    <row r="88" spans="1:15">
      <c r="A88" t="s">
        <v>439</v>
      </c>
      <c r="B88" t="s">
        <v>330</v>
      </c>
      <c r="C88" t="s">
        <v>440</v>
      </c>
      <c r="D88" t="s">
        <v>439</v>
      </c>
      <c r="E88" t="str">
        <f>VLOOKUP(D88,$K$3:$L$220,1,FALSE)</f>
        <v>Uruguay</v>
      </c>
      <c r="F88" t="str">
        <f>VLOOKUP(D88,$K$3:$L$220,2,FALSE)</f>
        <v>URY</v>
      </c>
      <c r="G88" t="s">
        <v>439</v>
      </c>
      <c r="H88" t="s">
        <v>330</v>
      </c>
      <c r="I88" t="s">
        <v>440</v>
      </c>
      <c r="K88" t="s">
        <v>382</v>
      </c>
      <c r="L88" t="s">
        <v>441</v>
      </c>
      <c r="M88" t="str">
        <f t="shared" si="3"/>
        <v>Honduras</v>
      </c>
      <c r="N88" t="str">
        <f t="shared" si="4"/>
        <v> Instituto Nacional de Estadisticas</v>
      </c>
      <c r="O88" t="str">
        <f t="shared" si="5"/>
        <v>https://www.ine.gob.hn/V3/</v>
      </c>
    </row>
    <row r="89" spans="1:15">
      <c r="A89" t="s">
        <v>442</v>
      </c>
      <c r="B89" t="s">
        <v>443</v>
      </c>
      <c r="C89" t="s">
        <v>444</v>
      </c>
      <c r="D89" t="s">
        <v>442</v>
      </c>
      <c r="E89" t="str">
        <f>VLOOKUP(D89,$K$3:$L$220,1,FALSE)</f>
        <v>United States</v>
      </c>
      <c r="F89" t="str">
        <f>VLOOKUP(D89,$K$3:$L$220,2,FALSE)</f>
        <v>USA</v>
      </c>
      <c r="G89" t="s">
        <v>442</v>
      </c>
      <c r="H89" t="s">
        <v>443</v>
      </c>
      <c r="I89" t="s">
        <v>444</v>
      </c>
      <c r="K89" t="s">
        <v>445</v>
      </c>
      <c r="L89" t="s">
        <v>446</v>
      </c>
      <c r="M89" t="str">
        <f t="shared" si="3"/>
        <v>China, Hong Kong SAR</v>
      </c>
      <c r="N89" t="str">
        <f t="shared" si="4"/>
        <v> Census and Statistics Department</v>
      </c>
      <c r="O89" t="str">
        <f t="shared" si="5"/>
        <v>http://www.censtatd.gov.hk/</v>
      </c>
    </row>
    <row r="90" spans="1:15">
      <c r="A90" t="s">
        <v>442</v>
      </c>
      <c r="B90" t="s">
        <v>447</v>
      </c>
      <c r="C90" t="s">
        <v>448</v>
      </c>
      <c r="D90" t="s">
        <v>442</v>
      </c>
      <c r="E90" t="str">
        <f>VLOOKUP(D90,$K$3:$L$220,1,FALSE)</f>
        <v>United States</v>
      </c>
      <c r="F90" t="str">
        <f>VLOOKUP(D90,$K$3:$L$220,2,FALSE)</f>
        <v>USA</v>
      </c>
      <c r="G90" t="s">
        <v>442</v>
      </c>
      <c r="H90" t="s">
        <v>447</v>
      </c>
      <c r="I90" t="s">
        <v>448</v>
      </c>
      <c r="K90" t="s">
        <v>449</v>
      </c>
      <c r="L90" t="s">
        <v>450</v>
      </c>
      <c r="M90" t="str">
        <f t="shared" si="3"/>
        <v>Hungary</v>
      </c>
      <c r="N90" t="str">
        <f t="shared" si="4"/>
        <v> Hungarian Central Statistical Office</v>
      </c>
      <c r="O90" t="str">
        <f t="shared" si="5"/>
        <v>http://www.ksh.hu/?lang=en</v>
      </c>
    </row>
    <row r="91" spans="1:15">
      <c r="A91" t="s">
        <v>442</v>
      </c>
      <c r="B91" t="s">
        <v>451</v>
      </c>
      <c r="C91" t="s">
        <v>452</v>
      </c>
      <c r="D91" t="s">
        <v>442</v>
      </c>
      <c r="E91" t="str">
        <f>VLOOKUP(D91,$K$3:$L$220,1,FALSE)</f>
        <v>United States</v>
      </c>
      <c r="F91" t="str">
        <f>VLOOKUP(D91,$K$3:$L$220,2,FALSE)</f>
        <v>USA</v>
      </c>
      <c r="G91" t="s">
        <v>442</v>
      </c>
      <c r="H91" t="s">
        <v>451</v>
      </c>
      <c r="I91" t="s">
        <v>452</v>
      </c>
      <c r="K91" t="s">
        <v>453</v>
      </c>
      <c r="L91" t="s">
        <v>454</v>
      </c>
      <c r="M91" t="str">
        <f t="shared" si="3"/>
        <v>Iceland</v>
      </c>
      <c r="N91" t="str">
        <f t="shared" si="4"/>
        <v> Statistics Iceland</v>
      </c>
      <c r="O91" t="str">
        <f t="shared" si="5"/>
        <v>http://www.hagstofa.is/</v>
      </c>
    </row>
    <row r="92" spans="1:15">
      <c r="A92" t="s">
        <v>442</v>
      </c>
      <c r="B92" t="s">
        <v>455</v>
      </c>
      <c r="C92" t="s">
        <v>456</v>
      </c>
      <c r="D92" t="s">
        <v>442</v>
      </c>
      <c r="E92" t="str">
        <f>VLOOKUP(D92,$K$3:$L$220,1,FALSE)</f>
        <v>United States</v>
      </c>
      <c r="F92" t="str">
        <f>VLOOKUP(D92,$K$3:$L$220,2,FALSE)</f>
        <v>USA</v>
      </c>
      <c r="G92" t="s">
        <v>442</v>
      </c>
      <c r="H92" t="s">
        <v>455</v>
      </c>
      <c r="I92" t="s">
        <v>456</v>
      </c>
      <c r="K92" t="s">
        <v>457</v>
      </c>
      <c r="L92" t="s">
        <v>458</v>
      </c>
      <c r="M92" t="str">
        <f t="shared" si="3"/>
        <v>India</v>
      </c>
      <c r="N92" t="str">
        <f t="shared" si="4"/>
        <v> Ministry of Statistcs and Programme Implementation</v>
      </c>
      <c r="O92" t="str">
        <f t="shared" si="5"/>
        <v>http://www.mospi.gov.in/</v>
      </c>
    </row>
    <row r="93" spans="1:15">
      <c r="A93" t="s">
        <v>442</v>
      </c>
      <c r="B93" t="s">
        <v>459</v>
      </c>
      <c r="C93" t="s">
        <v>460</v>
      </c>
      <c r="D93" t="s">
        <v>442</v>
      </c>
      <c r="E93" t="str">
        <f>VLOOKUP(D93,$K$3:$L$220,1,FALSE)</f>
        <v>United States</v>
      </c>
      <c r="F93" t="str">
        <f>VLOOKUP(D93,$K$3:$L$220,2,FALSE)</f>
        <v>USA</v>
      </c>
      <c r="G93" t="s">
        <v>442</v>
      </c>
      <c r="H93" t="s">
        <v>459</v>
      </c>
      <c r="I93" t="s">
        <v>460</v>
      </c>
      <c r="K93" t="s">
        <v>461</v>
      </c>
      <c r="L93" t="s">
        <v>462</v>
      </c>
      <c r="M93" t="str">
        <f t="shared" si="3"/>
        <v>Indonesia</v>
      </c>
      <c r="N93" t="str">
        <f t="shared" si="4"/>
        <v> BPS- Statistics Indonesia</v>
      </c>
      <c r="O93" t="str">
        <f t="shared" si="5"/>
        <v>http://www.bps.go.id/</v>
      </c>
    </row>
    <row r="94" spans="1:15">
      <c r="A94" t="s">
        <v>442</v>
      </c>
      <c r="B94" t="s">
        <v>463</v>
      </c>
      <c r="C94" t="s">
        <v>464</v>
      </c>
      <c r="D94" t="s">
        <v>442</v>
      </c>
      <c r="E94" t="str">
        <f>VLOOKUP(D94,$K$3:$L$220,1,FALSE)</f>
        <v>United States</v>
      </c>
      <c r="F94" t="str">
        <f>VLOOKUP(D94,$K$3:$L$220,2,FALSE)</f>
        <v>USA</v>
      </c>
      <c r="G94" t="s">
        <v>442</v>
      </c>
      <c r="H94" t="s">
        <v>463</v>
      </c>
      <c r="I94" t="s">
        <v>464</v>
      </c>
      <c r="K94" t="s">
        <v>465</v>
      </c>
      <c r="L94" t="s">
        <v>466</v>
      </c>
      <c r="M94" t="str">
        <f t="shared" si="3"/>
        <v>Iran</v>
      </c>
      <c r="N94" t="str">
        <f t="shared" si="4"/>
        <v> Statistical Centre of Iran</v>
      </c>
      <c r="O94" t="str">
        <f t="shared" si="5"/>
        <v>http://www.amar.org.ir/</v>
      </c>
    </row>
    <row r="95" spans="1:15">
      <c r="A95" t="s">
        <v>442</v>
      </c>
      <c r="B95" t="s">
        <v>467</v>
      </c>
      <c r="C95" t="s">
        <v>468</v>
      </c>
      <c r="D95" t="s">
        <v>442</v>
      </c>
      <c r="E95" t="str">
        <f>VLOOKUP(D95,$K$3:$L$220,1,FALSE)</f>
        <v>United States</v>
      </c>
      <c r="F95" t="str">
        <f>VLOOKUP(D95,$K$3:$L$220,2,FALSE)</f>
        <v>USA</v>
      </c>
      <c r="G95" t="s">
        <v>442</v>
      </c>
      <c r="H95" t="s">
        <v>467</v>
      </c>
      <c r="I95" t="s">
        <v>468</v>
      </c>
      <c r="K95" t="s">
        <v>469</v>
      </c>
      <c r="L95" t="s">
        <v>470</v>
      </c>
      <c r="M95" t="str">
        <f t="shared" si="3"/>
        <v>Iraq</v>
      </c>
      <c r="N95" t="str">
        <f t="shared" si="4"/>
        <v> Central Organization for Statistics and Information Technology (COSIT)</v>
      </c>
      <c r="O95" t="str">
        <f t="shared" si="5"/>
        <v>http://cosit.gov.iq/english/index.php</v>
      </c>
    </row>
    <row r="96" spans="1:15">
      <c r="A96" t="s">
        <v>442</v>
      </c>
      <c r="B96" t="s">
        <v>471</v>
      </c>
      <c r="C96" t="s">
        <v>472</v>
      </c>
      <c r="D96" t="s">
        <v>442</v>
      </c>
      <c r="E96" t="str">
        <f>VLOOKUP(D96,$K$3:$L$220,1,FALSE)</f>
        <v>United States</v>
      </c>
      <c r="F96" t="str">
        <f>VLOOKUP(D96,$K$3:$L$220,2,FALSE)</f>
        <v>USA</v>
      </c>
      <c r="G96" t="s">
        <v>442</v>
      </c>
      <c r="H96" t="s">
        <v>471</v>
      </c>
      <c r="I96" t="s">
        <v>472</v>
      </c>
      <c r="K96" t="s">
        <v>473</v>
      </c>
      <c r="L96" t="s">
        <v>474</v>
      </c>
      <c r="M96" t="str">
        <f t="shared" si="3"/>
        <v>Ireland</v>
      </c>
      <c r="N96" t="str">
        <f t="shared" si="4"/>
        <v> Central Statistics Office Ireland</v>
      </c>
      <c r="O96" t="str">
        <f t="shared" si="5"/>
        <v>http://www.cso.ie/</v>
      </c>
    </row>
    <row r="97" spans="1:15">
      <c r="A97" t="s">
        <v>442</v>
      </c>
      <c r="B97" t="s">
        <v>475</v>
      </c>
      <c r="C97" t="s">
        <v>476</v>
      </c>
      <c r="D97" t="s">
        <v>442</v>
      </c>
      <c r="E97" t="str">
        <f>VLOOKUP(D97,$K$3:$L$220,1,FALSE)</f>
        <v>United States</v>
      </c>
      <c r="F97" t="str">
        <f>VLOOKUP(D97,$K$3:$L$220,2,FALSE)</f>
        <v>USA</v>
      </c>
      <c r="G97" t="s">
        <v>442</v>
      </c>
      <c r="H97" t="s">
        <v>475</v>
      </c>
      <c r="I97" t="s">
        <v>476</v>
      </c>
      <c r="K97" s="4" t="s">
        <v>477</v>
      </c>
      <c r="L97" s="4" t="s">
        <v>478</v>
      </c>
      <c r="M97" s="4" t="e">
        <f t="shared" si="3"/>
        <v>#N/A</v>
      </c>
      <c r="N97" s="4" t="e">
        <f t="shared" si="4"/>
        <v>#N/A</v>
      </c>
      <c r="O97" s="4" t="e">
        <f t="shared" si="5"/>
        <v>#N/A</v>
      </c>
    </row>
    <row r="98" spans="1:15">
      <c r="A98" t="s">
        <v>442</v>
      </c>
      <c r="B98" t="s">
        <v>479</v>
      </c>
      <c r="C98" t="s">
        <v>480</v>
      </c>
      <c r="D98" t="s">
        <v>442</v>
      </c>
      <c r="E98" t="str">
        <f>VLOOKUP(D98,$K$3:$L$220,1,FALSE)</f>
        <v>United States</v>
      </c>
      <c r="F98" t="str">
        <f>VLOOKUP(D98,$K$3:$L$220,2,FALSE)</f>
        <v>USA</v>
      </c>
      <c r="G98" t="s">
        <v>442</v>
      </c>
      <c r="H98" t="s">
        <v>479</v>
      </c>
      <c r="I98" t="s">
        <v>480</v>
      </c>
      <c r="K98" t="s">
        <v>481</v>
      </c>
      <c r="L98" t="s">
        <v>482</v>
      </c>
      <c r="M98" t="str">
        <f t="shared" si="3"/>
        <v>Israel</v>
      </c>
      <c r="N98" t="str">
        <f t="shared" si="4"/>
        <v> Central Bureau of Statistics</v>
      </c>
      <c r="O98" t="str">
        <f t="shared" si="5"/>
        <v>http://www.cbs.gov.il/</v>
      </c>
    </row>
    <row r="99" spans="1:15">
      <c r="A99" t="s">
        <v>442</v>
      </c>
      <c r="B99" t="s">
        <v>483</v>
      </c>
      <c r="C99" t="s">
        <v>484</v>
      </c>
      <c r="D99" t="s">
        <v>442</v>
      </c>
      <c r="E99" t="str">
        <f>VLOOKUP(D99,$K$3:$L$220,1,FALSE)</f>
        <v>United States</v>
      </c>
      <c r="F99" t="str">
        <f>VLOOKUP(D99,$K$3:$L$220,2,FALSE)</f>
        <v>USA</v>
      </c>
      <c r="G99" t="s">
        <v>442</v>
      </c>
      <c r="H99" t="s">
        <v>483</v>
      </c>
      <c r="I99" t="s">
        <v>484</v>
      </c>
      <c r="K99" t="s">
        <v>485</v>
      </c>
      <c r="L99" t="s">
        <v>486</v>
      </c>
      <c r="M99" t="str">
        <f t="shared" si="3"/>
        <v>Italy</v>
      </c>
      <c r="N99" t="str">
        <f t="shared" si="4"/>
        <v> National Institut of Statistics</v>
      </c>
      <c r="O99" t="str">
        <f t="shared" si="5"/>
        <v>http://www.istat.it/</v>
      </c>
    </row>
    <row r="100" spans="1:15">
      <c r="A100" t="s">
        <v>487</v>
      </c>
      <c r="B100" t="s">
        <v>330</v>
      </c>
      <c r="C100" t="s">
        <v>488</v>
      </c>
      <c r="D100" t="s">
        <v>487</v>
      </c>
      <c r="E100" s="3" t="s">
        <v>489</v>
      </c>
      <c r="F100" s="3" t="s">
        <v>490</v>
      </c>
      <c r="G100" t="s">
        <v>487</v>
      </c>
      <c r="H100" t="s">
        <v>330</v>
      </c>
      <c r="I100" t="s">
        <v>488</v>
      </c>
      <c r="K100" t="s">
        <v>387</v>
      </c>
      <c r="L100" t="s">
        <v>491</v>
      </c>
      <c r="M100" t="str">
        <f t="shared" si="3"/>
        <v>Jamaica</v>
      </c>
      <c r="N100" t="str">
        <f t="shared" si="4"/>
        <v> Statistical Institute of Jamaica</v>
      </c>
      <c r="O100" t="str">
        <f t="shared" si="5"/>
        <v>http://www.statinja.gov.jm/</v>
      </c>
    </row>
    <row r="101" spans="1:15">
      <c r="A101" t="s">
        <v>492</v>
      </c>
      <c r="B101" t="s">
        <v>493</v>
      </c>
      <c r="C101" t="s">
        <v>494</v>
      </c>
      <c r="D101" t="s">
        <v>59</v>
      </c>
      <c r="E101" t="str">
        <f>VLOOKUP(D101,$K$3:$L$220,1,FALSE)</f>
        <v>Armenia</v>
      </c>
      <c r="F101" t="str">
        <f>VLOOKUP(D101,$K$3:$L$220,2,FALSE)</f>
        <v>ARM</v>
      </c>
      <c r="G101" t="s">
        <v>59</v>
      </c>
      <c r="H101" t="s">
        <v>493</v>
      </c>
      <c r="I101" t="s">
        <v>494</v>
      </c>
      <c r="K101" t="s">
        <v>495</v>
      </c>
      <c r="L101" t="s">
        <v>496</v>
      </c>
      <c r="M101" t="str">
        <f t="shared" si="3"/>
        <v>Japan</v>
      </c>
      <c r="N101" t="str">
        <f t="shared" si="4"/>
        <v> Office of Director-General for Policy Planning (Statistical Standards)</v>
      </c>
      <c r="O101" t="str">
        <f t="shared" si="5"/>
        <v>http://www.soumu.go.jp/english/dgpp_ss/seido/guide/2011ver/07.htm</v>
      </c>
    </row>
    <row r="102" spans="1:15">
      <c r="A102" t="s">
        <v>497</v>
      </c>
      <c r="B102" t="s">
        <v>498</v>
      </c>
      <c r="C102" t="s">
        <v>499</v>
      </c>
      <c r="D102" t="s">
        <v>87</v>
      </c>
      <c r="E102" t="str">
        <f>VLOOKUP(D102,$K$3:$L$220,1,FALSE)</f>
        <v>Azerbaijan</v>
      </c>
      <c r="F102" t="str">
        <f>VLOOKUP(D102,$K$3:$L$220,2,FALSE)</f>
        <v>AZE</v>
      </c>
      <c r="G102" t="s">
        <v>87</v>
      </c>
      <c r="H102" t="s">
        <v>498</v>
      </c>
      <c r="I102" t="s">
        <v>499</v>
      </c>
      <c r="K102" t="s">
        <v>500</v>
      </c>
      <c r="L102" t="s">
        <v>501</v>
      </c>
      <c r="M102" t="str">
        <f t="shared" si="3"/>
        <v>Jordan</v>
      </c>
      <c r="N102" t="str">
        <f t="shared" si="4"/>
        <v> Department of Statistics</v>
      </c>
      <c r="O102" t="str">
        <f t="shared" si="5"/>
        <v>http://www.dos.gov.jo/</v>
      </c>
    </row>
    <row r="103" spans="1:15">
      <c r="A103" t="s">
        <v>502</v>
      </c>
      <c r="B103" t="s">
        <v>503</v>
      </c>
      <c r="C103" t="s">
        <v>504</v>
      </c>
      <c r="D103" t="s">
        <v>101</v>
      </c>
      <c r="E103" t="str">
        <f>VLOOKUP(D103,$K$3:$L$220,1,FALSE)</f>
        <v>Bahrain</v>
      </c>
      <c r="F103" t="str">
        <f>VLOOKUP(D103,$K$3:$L$220,2,FALSE)</f>
        <v>BHR</v>
      </c>
      <c r="G103" t="s">
        <v>101</v>
      </c>
      <c r="H103" t="s">
        <v>503</v>
      </c>
      <c r="I103" t="s">
        <v>504</v>
      </c>
      <c r="K103" t="s">
        <v>505</v>
      </c>
      <c r="L103" t="s">
        <v>506</v>
      </c>
      <c r="M103" t="str">
        <f t="shared" si="3"/>
        <v>Kazakhstan</v>
      </c>
      <c r="N103" t="str">
        <f t="shared" si="4"/>
        <v> Statistical Office</v>
      </c>
      <c r="O103" t="str">
        <f t="shared" si="5"/>
        <v>http://www.stat.gov.kz/</v>
      </c>
    </row>
    <row r="104" spans="1:15">
      <c r="A104" t="s">
        <v>507</v>
      </c>
      <c r="B104" t="s">
        <v>375</v>
      </c>
      <c r="C104" t="s">
        <v>508</v>
      </c>
      <c r="D104" t="s">
        <v>107</v>
      </c>
      <c r="E104" t="str">
        <f>VLOOKUP(D104,$K$3:$L$220,1,FALSE)</f>
        <v>Bangladesh</v>
      </c>
      <c r="F104" t="str">
        <f>VLOOKUP(D104,$K$3:$L$220,2,FALSE)</f>
        <v>BGD</v>
      </c>
      <c r="G104" t="s">
        <v>107</v>
      </c>
      <c r="H104" t="s">
        <v>375</v>
      </c>
      <c r="I104" t="s">
        <v>508</v>
      </c>
      <c r="K104" t="s">
        <v>139</v>
      </c>
      <c r="L104" t="s">
        <v>509</v>
      </c>
      <c r="M104" t="str">
        <f t="shared" si="3"/>
        <v>Kenya</v>
      </c>
      <c r="N104" t="str">
        <f t="shared" si="4"/>
        <v> National Bureau of Statistics</v>
      </c>
      <c r="O104" t="str">
        <f t="shared" si="5"/>
        <v>http://www.knbs.or.ke/</v>
      </c>
    </row>
    <row r="105" spans="1:15">
      <c r="A105" t="s">
        <v>510</v>
      </c>
      <c r="B105" t="s">
        <v>511</v>
      </c>
      <c r="C105" t="s">
        <v>512</v>
      </c>
      <c r="D105" t="s">
        <v>148</v>
      </c>
      <c r="E105" t="str">
        <f>VLOOKUP(D105,$K$3:$L$220,1,FALSE)</f>
        <v>Bhutan</v>
      </c>
      <c r="F105" t="str">
        <f>VLOOKUP(D105,$K$3:$L$220,2,FALSE)</f>
        <v>BTN</v>
      </c>
      <c r="G105" t="s">
        <v>148</v>
      </c>
      <c r="H105" t="s">
        <v>511</v>
      </c>
      <c r="I105" t="s">
        <v>512</v>
      </c>
      <c r="K105" t="s">
        <v>513</v>
      </c>
      <c r="L105" t="s">
        <v>514</v>
      </c>
      <c r="M105" t="str">
        <f t="shared" si="3"/>
        <v>Kiribati</v>
      </c>
      <c r="N105" t="str">
        <f t="shared" si="4"/>
        <v> National Statistics Office</v>
      </c>
      <c r="O105" t="str">
        <f t="shared" si="5"/>
        <v>http://www.spc.int/prism/Country/KI/Stats/</v>
      </c>
    </row>
    <row r="106" spans="1:15">
      <c r="A106" t="s">
        <v>515</v>
      </c>
      <c r="B106" t="s">
        <v>516</v>
      </c>
      <c r="C106" t="s">
        <v>517</v>
      </c>
      <c r="D106" t="s">
        <v>181</v>
      </c>
      <c r="E106" t="str">
        <f>VLOOKUP(D106,$K$3:$L$220,1,FALSE)</f>
        <v>Brunei Darussalam</v>
      </c>
      <c r="F106" t="str">
        <f>VLOOKUP(D106,$K$3:$L$220,2,FALSE)</f>
        <v>BRN</v>
      </c>
      <c r="G106" t="s">
        <v>181</v>
      </c>
      <c r="H106" t="s">
        <v>516</v>
      </c>
      <c r="I106" t="s">
        <v>517</v>
      </c>
      <c r="K106" s="4" t="s">
        <v>518</v>
      </c>
      <c r="L106" s="4" t="s">
        <v>519</v>
      </c>
      <c r="M106" s="4" t="e">
        <f t="shared" si="3"/>
        <v>#N/A</v>
      </c>
      <c r="N106" s="4" t="e">
        <f t="shared" si="4"/>
        <v>#N/A</v>
      </c>
      <c r="O106" s="4" t="e">
        <f t="shared" si="5"/>
        <v>#N/A</v>
      </c>
    </row>
    <row r="107" spans="1:15">
      <c r="A107" t="s">
        <v>520</v>
      </c>
      <c r="B107" t="s">
        <v>521</v>
      </c>
      <c r="C107" t="s">
        <v>522</v>
      </c>
      <c r="D107" t="s">
        <v>206</v>
      </c>
      <c r="E107" t="str">
        <f>VLOOKUP(D107,$K$3:$L$220,1,FALSE)</f>
        <v>Cambodia</v>
      </c>
      <c r="F107" t="str">
        <f>VLOOKUP(D107,$K$3:$L$220,2,FALSE)</f>
        <v>KHM</v>
      </c>
      <c r="G107" t="s">
        <v>206</v>
      </c>
      <c r="H107" t="s">
        <v>521</v>
      </c>
      <c r="I107" t="s">
        <v>522</v>
      </c>
      <c r="K107" t="s">
        <v>523</v>
      </c>
      <c r="L107" t="s">
        <v>524</v>
      </c>
      <c r="M107" t="str">
        <f t="shared" si="3"/>
        <v>Korea, Republic of</v>
      </c>
      <c r="N107" t="str">
        <f t="shared" si="4"/>
        <v> Statistcs Korea</v>
      </c>
      <c r="O107" t="str">
        <f t="shared" si="5"/>
        <v>http://kostat.go.kr/</v>
      </c>
    </row>
    <row r="108" spans="1:15">
      <c r="A108" t="s">
        <v>525</v>
      </c>
      <c r="B108" t="s">
        <v>526</v>
      </c>
      <c r="C108" t="s">
        <v>527</v>
      </c>
      <c r="D108" t="s">
        <v>250</v>
      </c>
      <c r="E108" t="str">
        <f>VLOOKUP(D108,$K$3:$L$220,1,FALSE)</f>
        <v>China</v>
      </c>
      <c r="F108" t="str">
        <f>VLOOKUP(D108,$K$3:$L$220,2,FALSE)</f>
        <v>CHN</v>
      </c>
      <c r="G108" t="s">
        <v>250</v>
      </c>
      <c r="H108" t="s">
        <v>526</v>
      </c>
      <c r="I108" t="s">
        <v>527</v>
      </c>
      <c r="K108" s="4" t="s">
        <v>528</v>
      </c>
      <c r="L108" s="4" t="s">
        <v>529</v>
      </c>
      <c r="M108" s="4" t="e">
        <f t="shared" si="3"/>
        <v>#N/A</v>
      </c>
      <c r="N108" s="4" t="e">
        <f t="shared" si="4"/>
        <v>#N/A</v>
      </c>
      <c r="O108" s="4" t="e">
        <f t="shared" si="5"/>
        <v>#N/A</v>
      </c>
    </row>
    <row r="109" spans="1:15">
      <c r="A109" t="s">
        <v>530</v>
      </c>
      <c r="B109" t="s">
        <v>531</v>
      </c>
      <c r="C109" t="s">
        <v>532</v>
      </c>
      <c r="D109" t="s">
        <v>533</v>
      </c>
      <c r="E109" s="3" t="s">
        <v>445</v>
      </c>
      <c r="F109" s="3" t="s">
        <v>446</v>
      </c>
      <c r="G109" t="s">
        <v>533</v>
      </c>
      <c r="H109" t="s">
        <v>531</v>
      </c>
      <c r="I109" t="s">
        <v>532</v>
      </c>
      <c r="K109" t="s">
        <v>534</v>
      </c>
      <c r="L109" t="s">
        <v>535</v>
      </c>
      <c r="M109" t="str">
        <f t="shared" si="3"/>
        <v>Kuwait</v>
      </c>
      <c r="N109" t="str">
        <f t="shared" si="4"/>
        <v> Central Statistical Office</v>
      </c>
      <c r="O109" t="str">
        <f t="shared" si="5"/>
        <v>http://www.csb.gov.kw/Default_EN.aspx</v>
      </c>
    </row>
    <row r="110" spans="1:15">
      <c r="A110" t="s">
        <v>536</v>
      </c>
      <c r="B110" t="s">
        <v>537</v>
      </c>
      <c r="C110" t="s">
        <v>538</v>
      </c>
      <c r="D110" t="s">
        <v>539</v>
      </c>
      <c r="E110" s="3" t="s">
        <v>540</v>
      </c>
      <c r="F110" s="3" t="s">
        <v>541</v>
      </c>
      <c r="G110" t="s">
        <v>539</v>
      </c>
      <c r="H110" t="s">
        <v>537</v>
      </c>
      <c r="I110" t="s">
        <v>538</v>
      </c>
      <c r="K110" t="s">
        <v>542</v>
      </c>
      <c r="L110" t="s">
        <v>543</v>
      </c>
      <c r="M110" t="str">
        <f t="shared" si="3"/>
        <v>Kyrgyzstan</v>
      </c>
      <c r="N110" t="str">
        <f t="shared" si="4"/>
        <v> National Statistical Committee of Kyrgyz Republic</v>
      </c>
      <c r="O110" t="str">
        <f t="shared" si="5"/>
        <v>http://www.stat.kg/</v>
      </c>
    </row>
    <row r="111" spans="1:15">
      <c r="A111" t="s">
        <v>544</v>
      </c>
      <c r="B111" t="s">
        <v>545</v>
      </c>
      <c r="C111" t="s">
        <v>546</v>
      </c>
      <c r="D111" t="s">
        <v>306</v>
      </c>
      <c r="E111" t="str">
        <f>VLOOKUP(D111,$K$3:$L$220,1,FALSE)</f>
        <v>Cyprus</v>
      </c>
      <c r="F111" t="str">
        <f>VLOOKUP(D111,$K$3:$L$220,2,FALSE)</f>
        <v>CYP</v>
      </c>
      <c r="G111" t="s">
        <v>306</v>
      </c>
      <c r="H111" t="s">
        <v>545</v>
      </c>
      <c r="I111" t="s">
        <v>546</v>
      </c>
      <c r="K111" t="s">
        <v>547</v>
      </c>
      <c r="L111" t="s">
        <v>548</v>
      </c>
      <c r="M111" t="str">
        <f t="shared" si="3"/>
        <v>Lao People's Democratic Republic</v>
      </c>
      <c r="N111" t="str">
        <f t="shared" si="4"/>
        <v> Lao Statistics Bureau</v>
      </c>
      <c r="O111" t="str">
        <f t="shared" si="5"/>
        <v>http://www.lsb.gov.la/</v>
      </c>
    </row>
    <row r="112" spans="1:15">
      <c r="A112" t="s">
        <v>549</v>
      </c>
      <c r="B112" t="s">
        <v>550</v>
      </c>
      <c r="C112" t="s">
        <v>551</v>
      </c>
      <c r="D112" t="s">
        <v>380</v>
      </c>
      <c r="E112" t="str">
        <f>VLOOKUP(D112,$K$3:$L$220,1,FALSE)</f>
        <v>Georgia</v>
      </c>
      <c r="F112" t="str">
        <f>VLOOKUP(D112,$K$3:$L$220,2,FALSE)</f>
        <v>GEO</v>
      </c>
      <c r="G112" t="s">
        <v>380</v>
      </c>
      <c r="H112" t="s">
        <v>550</v>
      </c>
      <c r="I112" t="s">
        <v>551</v>
      </c>
      <c r="K112" t="s">
        <v>552</v>
      </c>
      <c r="L112" t="s">
        <v>553</v>
      </c>
      <c r="M112" t="str">
        <f t="shared" si="3"/>
        <v>Latvia</v>
      </c>
      <c r="N112" t="str">
        <f t="shared" si="4"/>
        <v> Central Statistical Bureau of Latvia</v>
      </c>
      <c r="O112" t="str">
        <f t="shared" si="5"/>
        <v>http://www.csb.lv/</v>
      </c>
    </row>
    <row r="113" spans="1:15">
      <c r="A113" t="s">
        <v>554</v>
      </c>
      <c r="B113" t="s">
        <v>555</v>
      </c>
      <c r="C113" t="s">
        <v>556</v>
      </c>
      <c r="D113" t="s">
        <v>457</v>
      </c>
      <c r="E113" t="str">
        <f>VLOOKUP(D113,$K$3:$L$220,1,FALSE)</f>
        <v>India</v>
      </c>
      <c r="F113" t="str">
        <f>VLOOKUP(D113,$K$3:$L$220,2,FALSE)</f>
        <v>IND</v>
      </c>
      <c r="G113" t="s">
        <v>457</v>
      </c>
      <c r="H113" t="s">
        <v>555</v>
      </c>
      <c r="I113" t="s">
        <v>556</v>
      </c>
      <c r="K113" t="s">
        <v>557</v>
      </c>
      <c r="L113" t="s">
        <v>558</v>
      </c>
      <c r="M113" t="str">
        <f t="shared" si="3"/>
        <v>Lebanon</v>
      </c>
      <c r="N113" t="str">
        <f t="shared" si="4"/>
        <v> Central Administration for Statistics</v>
      </c>
      <c r="O113" t="str">
        <f t="shared" si="5"/>
        <v>http://www.cas.gov.lb/</v>
      </c>
    </row>
    <row r="114" spans="1:15">
      <c r="A114" t="s">
        <v>559</v>
      </c>
      <c r="B114" t="s">
        <v>560</v>
      </c>
      <c r="C114" t="s">
        <v>561</v>
      </c>
      <c r="D114" t="s">
        <v>461</v>
      </c>
      <c r="E114" t="str">
        <f>VLOOKUP(D114,$K$3:$L$220,1,FALSE)</f>
        <v>Indonesia</v>
      </c>
      <c r="F114" t="str">
        <f>VLOOKUP(D114,$K$3:$L$220,2,FALSE)</f>
        <v>IDN</v>
      </c>
      <c r="G114" t="s">
        <v>461</v>
      </c>
      <c r="H114" t="s">
        <v>560</v>
      </c>
      <c r="I114" t="s">
        <v>561</v>
      </c>
      <c r="K114" t="s">
        <v>147</v>
      </c>
      <c r="L114" t="s">
        <v>562</v>
      </c>
      <c r="M114" t="str">
        <f t="shared" si="3"/>
        <v>Lesotho</v>
      </c>
      <c r="N114" t="str">
        <f t="shared" si="4"/>
        <v> Lesotho Bureau of Statistics</v>
      </c>
      <c r="O114" t="str">
        <f t="shared" si="5"/>
        <v>http://www.bos.gov.ls/</v>
      </c>
    </row>
    <row r="115" spans="1:15">
      <c r="A115" t="s">
        <v>563</v>
      </c>
      <c r="B115" t="s">
        <v>564</v>
      </c>
      <c r="C115" t="s">
        <v>565</v>
      </c>
      <c r="D115" t="s">
        <v>566</v>
      </c>
      <c r="E115" s="3" t="s">
        <v>465</v>
      </c>
      <c r="F115" s="3" t="s">
        <v>466</v>
      </c>
      <c r="G115" t="s">
        <v>566</v>
      </c>
      <c r="H115" t="s">
        <v>564</v>
      </c>
      <c r="I115" t="s">
        <v>565</v>
      </c>
      <c r="K115" t="s">
        <v>153</v>
      </c>
      <c r="L115" t="s">
        <v>567</v>
      </c>
      <c r="M115" t="str">
        <f t="shared" si="3"/>
        <v>Liberia</v>
      </c>
      <c r="N115" t="str">
        <f t="shared" si="4"/>
        <v> Liberia Institute of Statistics &amp; Geo-Information Services</v>
      </c>
      <c r="O115" t="str">
        <f t="shared" si="5"/>
        <v>http://www.tlcafrica.com/lisgis/lisgis.htm</v>
      </c>
    </row>
    <row r="116" spans="1:15">
      <c r="A116" t="s">
        <v>568</v>
      </c>
      <c r="B116" t="s">
        <v>569</v>
      </c>
      <c r="C116" t="s">
        <v>570</v>
      </c>
      <c r="D116" t="s">
        <v>469</v>
      </c>
      <c r="E116" t="str">
        <f>VLOOKUP(D116,$K$3:$L$220,1,FALSE)</f>
        <v>Iraq</v>
      </c>
      <c r="F116" t="str">
        <f>VLOOKUP(D116,$K$3:$L$220,2,FALSE)</f>
        <v>IRQ</v>
      </c>
      <c r="G116" t="s">
        <v>469</v>
      </c>
      <c r="H116" t="s">
        <v>569</v>
      </c>
      <c r="I116" t="s">
        <v>570</v>
      </c>
      <c r="K116" t="s">
        <v>156</v>
      </c>
      <c r="L116" t="s">
        <v>571</v>
      </c>
      <c r="M116" t="str">
        <f t="shared" si="3"/>
        <v>Libya</v>
      </c>
      <c r="N116" t="str">
        <f t="shared" si="4"/>
        <v> Bureau of Statistics and Census Libya</v>
      </c>
      <c r="O116" t="str">
        <f t="shared" si="5"/>
        <v>http://www.bsc.ly/</v>
      </c>
    </row>
    <row r="117" spans="1:15">
      <c r="A117" t="s">
        <v>572</v>
      </c>
      <c r="B117" t="s">
        <v>199</v>
      </c>
      <c r="C117" t="s">
        <v>573</v>
      </c>
      <c r="D117" t="s">
        <v>481</v>
      </c>
      <c r="E117" t="str">
        <f>VLOOKUP(D117,$K$3:$L$220,1,FALSE)</f>
        <v>Israel</v>
      </c>
      <c r="F117" t="str">
        <f>VLOOKUP(D117,$K$3:$L$220,2,FALSE)</f>
        <v>ISR</v>
      </c>
      <c r="G117" t="s">
        <v>481</v>
      </c>
      <c r="H117" t="s">
        <v>199</v>
      </c>
      <c r="I117" t="s">
        <v>573</v>
      </c>
      <c r="K117" t="s">
        <v>574</v>
      </c>
      <c r="L117" t="s">
        <v>575</v>
      </c>
      <c r="M117" t="str">
        <f t="shared" si="3"/>
        <v>Liechtenstein</v>
      </c>
      <c r="N117" t="str">
        <f t="shared" si="4"/>
        <v> Bureau of Statistics</v>
      </c>
      <c r="O117" t="str">
        <f t="shared" si="5"/>
        <v>http://www.as.llv.li/</v>
      </c>
    </row>
    <row r="118" spans="1:15">
      <c r="A118" t="s">
        <v>495</v>
      </c>
      <c r="B118" t="s">
        <v>576</v>
      </c>
      <c r="C118" t="s">
        <v>577</v>
      </c>
      <c r="D118" t="s">
        <v>495</v>
      </c>
      <c r="E118" t="str">
        <f>VLOOKUP(D118,$K$3:$L$220,1,FALSE)</f>
        <v>Japan</v>
      </c>
      <c r="F118" t="str">
        <f>VLOOKUP(D118,$K$3:$L$220,2,FALSE)</f>
        <v>JPN</v>
      </c>
      <c r="G118" t="s">
        <v>495</v>
      </c>
      <c r="H118" t="s">
        <v>576</v>
      </c>
      <c r="I118" t="s">
        <v>577</v>
      </c>
      <c r="K118" t="s">
        <v>578</v>
      </c>
      <c r="L118" t="s">
        <v>579</v>
      </c>
      <c r="M118" t="str">
        <f t="shared" si="3"/>
        <v>Lithuania</v>
      </c>
      <c r="N118" t="str">
        <f t="shared" si="4"/>
        <v> Statistics Lithuania</v>
      </c>
      <c r="O118" t="str">
        <f t="shared" si="5"/>
        <v>http://www.stat.gov.lt/</v>
      </c>
    </row>
    <row r="119" spans="1:15">
      <c r="A119" t="s">
        <v>495</v>
      </c>
      <c r="B119" t="s">
        <v>580</v>
      </c>
      <c r="C119" t="s">
        <v>581</v>
      </c>
      <c r="D119" t="s">
        <v>495</v>
      </c>
      <c r="E119" t="str">
        <f>VLOOKUP(D119,$K$3:$L$220,1,FALSE)</f>
        <v>Japan</v>
      </c>
      <c r="F119" t="str">
        <f>VLOOKUP(D119,$K$3:$L$220,2,FALSE)</f>
        <v>JPN</v>
      </c>
      <c r="G119" t="s">
        <v>495</v>
      </c>
      <c r="H119" t="s">
        <v>580</v>
      </c>
      <c r="I119" t="s">
        <v>581</v>
      </c>
      <c r="K119" t="s">
        <v>582</v>
      </c>
      <c r="L119" t="s">
        <v>583</v>
      </c>
      <c r="M119" t="str">
        <f t="shared" si="3"/>
        <v>Luxembourg</v>
      </c>
      <c r="N119" t="str">
        <f t="shared" si="4"/>
        <v> STATEC</v>
      </c>
      <c r="O119" t="str">
        <f t="shared" si="5"/>
        <v>http://www.statec.lu/</v>
      </c>
    </row>
    <row r="120" spans="1:15">
      <c r="A120" t="s">
        <v>584</v>
      </c>
      <c r="B120" t="s">
        <v>316</v>
      </c>
      <c r="C120" t="s">
        <v>585</v>
      </c>
      <c r="D120" t="s">
        <v>500</v>
      </c>
      <c r="E120" t="str">
        <f>VLOOKUP(D120,$K$3:$L$220,1,FALSE)</f>
        <v>Jordan</v>
      </c>
      <c r="F120" t="str">
        <f>VLOOKUP(D120,$K$3:$L$220,2,FALSE)</f>
        <v>JOR</v>
      </c>
      <c r="G120" t="s">
        <v>500</v>
      </c>
      <c r="H120" t="s">
        <v>316</v>
      </c>
      <c r="I120" t="s">
        <v>585</v>
      </c>
      <c r="K120" t="s">
        <v>540</v>
      </c>
      <c r="L120" t="s">
        <v>541</v>
      </c>
      <c r="M120" t="str">
        <f t="shared" si="3"/>
        <v>China, Macao SAR</v>
      </c>
      <c r="N120" t="str">
        <f t="shared" si="4"/>
        <v> Statistics and Census Service</v>
      </c>
      <c r="O120" t="str">
        <f t="shared" si="5"/>
        <v>http://www.dsec.gov.mo/</v>
      </c>
    </row>
    <row r="121" spans="1:15">
      <c r="A121" t="s">
        <v>586</v>
      </c>
      <c r="B121" t="s">
        <v>587</v>
      </c>
      <c r="C121" t="s">
        <v>588</v>
      </c>
      <c r="D121" t="s">
        <v>505</v>
      </c>
      <c r="E121" t="str">
        <f>VLOOKUP(D121,$K$3:$L$220,1,FALSE)</f>
        <v>Kazakhstan</v>
      </c>
      <c r="F121" t="str">
        <f>VLOOKUP(D121,$K$3:$L$220,2,FALSE)</f>
        <v>KAZ</v>
      </c>
      <c r="G121" t="s">
        <v>505</v>
      </c>
      <c r="H121" t="s">
        <v>587</v>
      </c>
      <c r="I121" t="s">
        <v>588</v>
      </c>
      <c r="K121" t="s">
        <v>163</v>
      </c>
      <c r="L121" t="s">
        <v>589</v>
      </c>
      <c r="M121" t="str">
        <f t="shared" si="3"/>
        <v>Madagascar</v>
      </c>
      <c r="N121" t="str">
        <f t="shared" si="4"/>
        <v> Institut National de la Statistique</v>
      </c>
      <c r="O121" t="str">
        <f t="shared" si="5"/>
        <v>http://www.instat.mg/</v>
      </c>
    </row>
    <row r="122" spans="1:15">
      <c r="A122" t="s">
        <v>590</v>
      </c>
      <c r="B122" t="s">
        <v>591</v>
      </c>
      <c r="C122" t="s">
        <v>592</v>
      </c>
      <c r="D122" t="s">
        <v>593</v>
      </c>
      <c r="E122" s="3" t="s">
        <v>542</v>
      </c>
      <c r="F122" s="3" t="s">
        <v>543</v>
      </c>
      <c r="G122" t="s">
        <v>593</v>
      </c>
      <c r="H122" t="s">
        <v>591</v>
      </c>
      <c r="I122" t="s">
        <v>592</v>
      </c>
      <c r="K122" t="s">
        <v>168</v>
      </c>
      <c r="L122" t="s">
        <v>594</v>
      </c>
      <c r="M122" t="str">
        <f t="shared" si="3"/>
        <v>Malawi</v>
      </c>
      <c r="N122" t="str">
        <f t="shared" si="4"/>
        <v> National Statistical Office of Malawi</v>
      </c>
      <c r="O122" t="str">
        <f t="shared" si="5"/>
        <v>http://www.nsomalawi.mw/</v>
      </c>
    </row>
    <row r="123" spans="1:15">
      <c r="A123" t="s">
        <v>595</v>
      </c>
      <c r="B123" t="s">
        <v>596</v>
      </c>
      <c r="C123" t="s">
        <v>597</v>
      </c>
      <c r="D123" t="s">
        <v>598</v>
      </c>
      <c r="E123" s="3" t="s">
        <v>523</v>
      </c>
      <c r="F123" s="3" t="s">
        <v>524</v>
      </c>
      <c r="G123" t="s">
        <v>598</v>
      </c>
      <c r="H123" t="s">
        <v>596</v>
      </c>
      <c r="I123" t="s">
        <v>597</v>
      </c>
      <c r="K123" t="s">
        <v>599</v>
      </c>
      <c r="L123" t="s">
        <v>600</v>
      </c>
      <c r="M123" t="str">
        <f t="shared" si="3"/>
        <v>Malaysia</v>
      </c>
      <c r="N123" t="str">
        <f t="shared" si="4"/>
        <v> Department of Statistics Malaysia</v>
      </c>
      <c r="O123" t="str">
        <f t="shared" si="5"/>
        <v>https://www.dosm.gov.my/v1/</v>
      </c>
    </row>
    <row r="124" spans="1:15">
      <c r="A124" t="s">
        <v>601</v>
      </c>
      <c r="B124" t="s">
        <v>28</v>
      </c>
      <c r="C124" t="s">
        <v>602</v>
      </c>
      <c r="D124" t="s">
        <v>534</v>
      </c>
      <c r="E124" t="str">
        <f>VLOOKUP(D124,$K$3:$L$220,1,FALSE)</f>
        <v>Kuwait</v>
      </c>
      <c r="F124" t="str">
        <f>VLOOKUP(D124,$K$3:$L$220,2,FALSE)</f>
        <v>KWT</v>
      </c>
      <c r="G124" t="s">
        <v>534</v>
      </c>
      <c r="H124" t="s">
        <v>28</v>
      </c>
      <c r="I124" t="s">
        <v>602</v>
      </c>
      <c r="K124" t="s">
        <v>603</v>
      </c>
      <c r="L124" t="s">
        <v>604</v>
      </c>
      <c r="M124" t="str">
        <f t="shared" si="3"/>
        <v>Maldives</v>
      </c>
      <c r="N124" t="str">
        <f t="shared" si="4"/>
        <v> Department of National Planning</v>
      </c>
      <c r="O124" t="str">
        <f t="shared" si="5"/>
        <v>http://www.planning.gov.mv/</v>
      </c>
    </row>
    <row r="125" spans="1:15">
      <c r="A125" t="s">
        <v>605</v>
      </c>
      <c r="B125" t="s">
        <v>606</v>
      </c>
      <c r="C125" t="s">
        <v>607</v>
      </c>
      <c r="D125" t="s">
        <v>608</v>
      </c>
      <c r="E125" s="3" t="s">
        <v>547</v>
      </c>
      <c r="F125" s="3" t="s">
        <v>548</v>
      </c>
      <c r="G125" t="s">
        <v>608</v>
      </c>
      <c r="H125" t="s">
        <v>606</v>
      </c>
      <c r="I125" t="s">
        <v>607</v>
      </c>
      <c r="K125" t="s">
        <v>174</v>
      </c>
      <c r="L125" t="s">
        <v>609</v>
      </c>
      <c r="M125" t="str">
        <f t="shared" si="3"/>
        <v>Mali</v>
      </c>
      <c r="N125" t="str">
        <f t="shared" si="4"/>
        <v> l’Institut National de la Statistique</v>
      </c>
      <c r="O125" t="str">
        <f t="shared" si="5"/>
        <v>http://www.instat-mali.org/</v>
      </c>
    </row>
    <row r="126" spans="1:15">
      <c r="A126" t="s">
        <v>610</v>
      </c>
      <c r="B126" t="s">
        <v>611</v>
      </c>
      <c r="C126" t="s">
        <v>612</v>
      </c>
      <c r="D126" t="s">
        <v>557</v>
      </c>
      <c r="E126" t="str">
        <f>VLOOKUP(D126,$K$3:$L$220,1,FALSE)</f>
        <v>Lebanon</v>
      </c>
      <c r="F126" t="str">
        <f>VLOOKUP(D126,$K$3:$L$220,2,FALSE)</f>
        <v>LBN</v>
      </c>
      <c r="G126" t="s">
        <v>557</v>
      </c>
      <c r="H126" t="s">
        <v>611</v>
      </c>
      <c r="I126" t="s">
        <v>612</v>
      </c>
      <c r="K126" t="s">
        <v>613</v>
      </c>
      <c r="L126" t="s">
        <v>614</v>
      </c>
      <c r="M126" t="str">
        <f t="shared" si="3"/>
        <v>Malta</v>
      </c>
      <c r="N126" t="str">
        <f t="shared" si="4"/>
        <v> National Statistics Office</v>
      </c>
      <c r="O126" t="str">
        <f t="shared" si="5"/>
        <v>http://www.nso.gov.mt/</v>
      </c>
    </row>
    <row r="127" spans="1:15">
      <c r="A127" t="s">
        <v>615</v>
      </c>
      <c r="B127" t="s">
        <v>616</v>
      </c>
      <c r="C127" t="s">
        <v>617</v>
      </c>
      <c r="D127" t="s">
        <v>599</v>
      </c>
      <c r="E127" t="str">
        <f>VLOOKUP(D127,$K$3:$L$220,1,FALSE)</f>
        <v>Malaysia</v>
      </c>
      <c r="F127" t="str">
        <f>VLOOKUP(D127,$K$3:$L$220,2,FALSE)</f>
        <v>MYS</v>
      </c>
      <c r="G127" t="s">
        <v>599</v>
      </c>
      <c r="H127" t="s">
        <v>616</v>
      </c>
      <c r="I127" t="s">
        <v>617</v>
      </c>
      <c r="K127" t="s">
        <v>618</v>
      </c>
      <c r="L127" t="s">
        <v>619</v>
      </c>
      <c r="M127" t="str">
        <f t="shared" si="3"/>
        <v>Marshall Islands</v>
      </c>
      <c r="N127" t="str">
        <f t="shared" si="4"/>
        <v> Embassy of the Republic of the Marshall Islands</v>
      </c>
      <c r="O127" t="str">
        <f t="shared" si="5"/>
        <v>http://www.rmiembassyus.org/</v>
      </c>
    </row>
    <row r="128" spans="1:15">
      <c r="A128" t="s">
        <v>620</v>
      </c>
      <c r="B128" t="s">
        <v>621</v>
      </c>
      <c r="C128" t="s">
        <v>622</v>
      </c>
      <c r="D128" t="s">
        <v>603</v>
      </c>
      <c r="E128" t="str">
        <f>VLOOKUP(D128,$K$3:$L$220,1,FALSE)</f>
        <v>Maldives</v>
      </c>
      <c r="F128" t="str">
        <f>VLOOKUP(D128,$K$3:$L$220,2,FALSE)</f>
        <v>MDV</v>
      </c>
      <c r="G128" t="s">
        <v>603</v>
      </c>
      <c r="H128" t="s">
        <v>621</v>
      </c>
      <c r="I128" t="s">
        <v>622</v>
      </c>
      <c r="K128" t="s">
        <v>180</v>
      </c>
      <c r="L128" t="s">
        <v>623</v>
      </c>
      <c r="M128" t="str">
        <f t="shared" si="3"/>
        <v>Mauritania</v>
      </c>
      <c r="N128" t="str">
        <f t="shared" si="4"/>
        <v> Office National de la Statistique</v>
      </c>
      <c r="O128" t="str">
        <f t="shared" si="5"/>
        <v>http://www.ons.mr/</v>
      </c>
    </row>
    <row r="129" spans="1:15">
      <c r="A129" t="s">
        <v>624</v>
      </c>
      <c r="B129" t="s">
        <v>625</v>
      </c>
      <c r="C129" t="s">
        <v>626</v>
      </c>
      <c r="D129" t="s">
        <v>627</v>
      </c>
      <c r="E129" t="str">
        <f>VLOOKUP(D129,$K$3:$L$220,1,FALSE)</f>
        <v>Mongolia</v>
      </c>
      <c r="F129" t="str">
        <f>VLOOKUP(D129,$K$3:$L$220,2,FALSE)</f>
        <v>MNG</v>
      </c>
      <c r="G129" t="s">
        <v>627</v>
      </c>
      <c r="H129" t="s">
        <v>625</v>
      </c>
      <c r="I129" t="s">
        <v>626</v>
      </c>
      <c r="K129" t="s">
        <v>186</v>
      </c>
      <c r="L129" t="s">
        <v>628</v>
      </c>
      <c r="M129" t="str">
        <f t="shared" si="3"/>
        <v>Mauritius</v>
      </c>
      <c r="N129" t="str">
        <f t="shared" si="4"/>
        <v> Statistics Mauritius Office</v>
      </c>
      <c r="O129" t="str">
        <f t="shared" si="5"/>
        <v>http://statsmauritius.govmu.org/English/Pages/default.aspx</v>
      </c>
    </row>
    <row r="130" spans="1:15">
      <c r="A130" t="s">
        <v>629</v>
      </c>
      <c r="B130" t="s">
        <v>630</v>
      </c>
      <c r="C130" t="s">
        <v>631</v>
      </c>
      <c r="D130" t="s">
        <v>632</v>
      </c>
      <c r="E130" t="str">
        <f>VLOOKUP(D130,$K$3:$L$220,1,FALSE)</f>
        <v>Myanmar</v>
      </c>
      <c r="F130" t="str">
        <f>VLOOKUP(D130,$K$3:$L$220,2,FALSE)</f>
        <v>MMR</v>
      </c>
      <c r="G130" t="s">
        <v>632</v>
      </c>
      <c r="H130" t="s">
        <v>630</v>
      </c>
      <c r="I130" t="s">
        <v>631</v>
      </c>
      <c r="K130" t="s">
        <v>391</v>
      </c>
      <c r="L130" t="s">
        <v>633</v>
      </c>
      <c r="M130" t="str">
        <f t="shared" si="3"/>
        <v>Mexico</v>
      </c>
      <c r="N130" t="str">
        <f t="shared" si="4"/>
        <v> Instituto Nacional de Estadística, Geografía (INEGI)</v>
      </c>
      <c r="O130" t="str">
        <f t="shared" si="5"/>
        <v>http://www.inegi.org.mx/</v>
      </c>
    </row>
    <row r="131" spans="1:15">
      <c r="A131" t="s">
        <v>634</v>
      </c>
      <c r="B131" t="s">
        <v>199</v>
      </c>
      <c r="C131" t="s">
        <v>635</v>
      </c>
      <c r="D131" t="s">
        <v>636</v>
      </c>
      <c r="E131" t="str">
        <f>VLOOKUP(D131,$K$3:$L$220,1,FALSE)</f>
        <v>Nepal</v>
      </c>
      <c r="F131" t="str">
        <f>VLOOKUP(D131,$K$3:$L$220,2,FALSE)</f>
        <v>NPL</v>
      </c>
      <c r="G131" t="s">
        <v>636</v>
      </c>
      <c r="H131" t="s">
        <v>199</v>
      </c>
      <c r="I131" t="s">
        <v>635</v>
      </c>
      <c r="K131" t="s">
        <v>637</v>
      </c>
      <c r="L131" t="s">
        <v>638</v>
      </c>
      <c r="M131" t="str">
        <f t="shared" si="3"/>
        <v>Micronesia, Federated States of</v>
      </c>
      <c r="N131" t="str">
        <f t="shared" si="4"/>
        <v> Government of the Federated States of Micronesia (FSM)</v>
      </c>
      <c r="O131" t="str">
        <f t="shared" si="5"/>
        <v>http://www.fsmgov.org/info/people.html</v>
      </c>
    </row>
    <row r="132" spans="1:15">
      <c r="A132" t="s">
        <v>639</v>
      </c>
      <c r="B132" t="s">
        <v>640</v>
      </c>
      <c r="C132" t="s">
        <v>641</v>
      </c>
      <c r="D132" t="s">
        <v>642</v>
      </c>
      <c r="E132" t="str">
        <f>VLOOKUP(D132,$K$3:$L$220,1,FALSE)</f>
        <v>Oman</v>
      </c>
      <c r="F132" t="str">
        <f>VLOOKUP(D132,$K$3:$L$220,2,FALSE)</f>
        <v>OMN</v>
      </c>
      <c r="G132" t="s">
        <v>642</v>
      </c>
      <c r="H132" t="s">
        <v>640</v>
      </c>
      <c r="I132" t="s">
        <v>641</v>
      </c>
      <c r="K132" t="s">
        <v>643</v>
      </c>
      <c r="L132" t="s">
        <v>644</v>
      </c>
      <c r="M132" t="str">
        <f t="shared" ref="M132:M195" si="6">VLOOKUP(L132,$F$3:$I$219,2,FALSE)</f>
        <v>Moldova</v>
      </c>
      <c r="N132" t="str">
        <f t="shared" ref="N132:N195" si="7">VLOOKUP(L132,$F$3:$I$219,3,FALSE)</f>
        <v> National Bureau of Statistics</v>
      </c>
      <c r="O132" t="str">
        <f t="shared" ref="O132:O195" si="8">VLOOKUP(L132,$F$3:$I$219,4,FALSE)</f>
        <v>http://www.statistica.md/?lang=en</v>
      </c>
    </row>
    <row r="133" spans="1:15">
      <c r="A133" t="s">
        <v>645</v>
      </c>
      <c r="B133" t="s">
        <v>646</v>
      </c>
      <c r="C133" t="s">
        <v>647</v>
      </c>
      <c r="D133" t="s">
        <v>645</v>
      </c>
      <c r="E133" t="str">
        <f>VLOOKUP(D133,$K$3:$L$220,1,FALSE)</f>
        <v>Pakistan</v>
      </c>
      <c r="F133" t="str">
        <f>VLOOKUP(D133,$K$3:$L$220,2,FALSE)</f>
        <v>PAK</v>
      </c>
      <c r="G133" t="s">
        <v>645</v>
      </c>
      <c r="H133" t="s">
        <v>646</v>
      </c>
      <c r="I133" t="s">
        <v>647</v>
      </c>
      <c r="K133" t="s">
        <v>648</v>
      </c>
      <c r="L133" t="s">
        <v>649</v>
      </c>
      <c r="M133" t="str">
        <f t="shared" si="6"/>
        <v>Monaco</v>
      </c>
      <c r="N133" t="str">
        <f t="shared" si="7"/>
        <v> Official Government Portal</v>
      </c>
      <c r="O133" t="str">
        <f t="shared" si="8"/>
        <v>http://www.gouv.mc/</v>
      </c>
    </row>
    <row r="134" spans="1:15">
      <c r="A134" t="s">
        <v>645</v>
      </c>
      <c r="B134" t="s">
        <v>650</v>
      </c>
      <c r="C134" t="s">
        <v>651</v>
      </c>
      <c r="D134" t="s">
        <v>645</v>
      </c>
      <c r="E134" t="str">
        <f>VLOOKUP(D134,$K$3:$L$220,1,FALSE)</f>
        <v>Pakistan</v>
      </c>
      <c r="F134" t="str">
        <f>VLOOKUP(D134,$K$3:$L$220,2,FALSE)</f>
        <v>PAK</v>
      </c>
      <c r="G134" t="s">
        <v>645</v>
      </c>
      <c r="H134" t="s">
        <v>650</v>
      </c>
      <c r="I134" t="s">
        <v>651</v>
      </c>
      <c r="K134" t="s">
        <v>627</v>
      </c>
      <c r="L134" t="s">
        <v>652</v>
      </c>
      <c r="M134" t="str">
        <f t="shared" si="6"/>
        <v>Mongolia</v>
      </c>
      <c r="N134" t="str">
        <f t="shared" si="7"/>
        <v> National Statistical Office</v>
      </c>
      <c r="O134" t="str">
        <f t="shared" si="8"/>
        <v>http://www.nso.mn/</v>
      </c>
    </row>
    <row r="135" spans="1:15">
      <c r="A135" t="s">
        <v>653</v>
      </c>
      <c r="B135" t="s">
        <v>654</v>
      </c>
      <c r="C135" t="s">
        <v>655</v>
      </c>
      <c r="D135" t="s">
        <v>656</v>
      </c>
      <c r="E135" t="str">
        <f>VLOOKUP(D135,$K$3:$L$220,1,FALSE)</f>
        <v>Philippines</v>
      </c>
      <c r="F135" t="str">
        <f>VLOOKUP(D135,$K$3:$L$220,2,FALSE)</f>
        <v>PHL</v>
      </c>
      <c r="G135" t="s">
        <v>656</v>
      </c>
      <c r="H135" t="s">
        <v>654</v>
      </c>
      <c r="I135" t="s">
        <v>655</v>
      </c>
      <c r="K135" t="s">
        <v>657</v>
      </c>
      <c r="L135" t="s">
        <v>658</v>
      </c>
      <c r="M135" t="str">
        <f t="shared" si="6"/>
        <v>Montenegro</v>
      </c>
      <c r="N135" t="str">
        <f t="shared" si="7"/>
        <v> Statistical Office of Montenegro</v>
      </c>
      <c r="O135" t="str">
        <f t="shared" si="8"/>
        <v>http://www.monstat.org/</v>
      </c>
    </row>
    <row r="136" spans="1:15">
      <c r="A136" t="s">
        <v>659</v>
      </c>
      <c r="B136" t="s">
        <v>660</v>
      </c>
      <c r="C136" t="s">
        <v>661</v>
      </c>
      <c r="D136" t="s">
        <v>662</v>
      </c>
      <c r="E136" t="str">
        <f>VLOOKUP(D136,$K$3:$L$220,1,FALSE)</f>
        <v>Qatar</v>
      </c>
      <c r="F136" t="str">
        <f>VLOOKUP(D136,$K$3:$L$220,2,FALSE)</f>
        <v>QAT</v>
      </c>
      <c r="G136" t="s">
        <v>662</v>
      </c>
      <c r="H136" t="s">
        <v>660</v>
      </c>
      <c r="I136" t="s">
        <v>661</v>
      </c>
      <c r="K136" t="s">
        <v>192</v>
      </c>
      <c r="L136" t="s">
        <v>663</v>
      </c>
      <c r="M136" t="str">
        <f t="shared" si="6"/>
        <v>Morocco</v>
      </c>
      <c r="N136" t="str">
        <f t="shared" si="7"/>
        <v> Direction de la Statistique</v>
      </c>
      <c r="O136" t="str">
        <f t="shared" si="8"/>
        <v>http://www.hcp.ma/</v>
      </c>
    </row>
    <row r="137" spans="1:15">
      <c r="A137" t="s">
        <v>664</v>
      </c>
      <c r="B137" t="s">
        <v>665</v>
      </c>
      <c r="C137" t="s">
        <v>666</v>
      </c>
      <c r="D137" t="s">
        <v>667</v>
      </c>
      <c r="E137" t="str">
        <f>VLOOKUP(D137,$K$3:$L$220,1,FALSE)</f>
        <v>Saudi Arabia</v>
      </c>
      <c r="F137" t="str">
        <f>VLOOKUP(D137,$K$3:$L$220,2,FALSE)</f>
        <v>SAU</v>
      </c>
      <c r="G137" t="s">
        <v>667</v>
      </c>
      <c r="H137" t="s">
        <v>665</v>
      </c>
      <c r="I137" t="s">
        <v>666</v>
      </c>
      <c r="K137" t="s">
        <v>196</v>
      </c>
      <c r="L137" t="s">
        <v>668</v>
      </c>
      <c r="M137" t="str">
        <f t="shared" si="6"/>
        <v>Mozambique</v>
      </c>
      <c r="N137" t="str">
        <f t="shared" si="7"/>
        <v> Instituto Nacional de Estatistica</v>
      </c>
      <c r="O137" t="str">
        <f t="shared" si="8"/>
        <v>http://www.ine.gov.mz/</v>
      </c>
    </row>
    <row r="138" spans="1:15">
      <c r="A138" t="s">
        <v>669</v>
      </c>
      <c r="B138" t="s">
        <v>670</v>
      </c>
      <c r="C138" t="s">
        <v>671</v>
      </c>
      <c r="D138" t="s">
        <v>672</v>
      </c>
      <c r="E138" t="str">
        <f>VLOOKUP(D138,$K$3:$L$220,1,FALSE)</f>
        <v>Singapore</v>
      </c>
      <c r="F138" t="str">
        <f>VLOOKUP(D138,$K$3:$L$220,2,FALSE)</f>
        <v>SGP</v>
      </c>
      <c r="G138" t="s">
        <v>672</v>
      </c>
      <c r="H138" t="s">
        <v>670</v>
      </c>
      <c r="I138" t="s">
        <v>671</v>
      </c>
      <c r="K138" t="s">
        <v>632</v>
      </c>
      <c r="L138" t="s">
        <v>673</v>
      </c>
      <c r="M138" t="str">
        <f t="shared" si="6"/>
        <v>Myanmar</v>
      </c>
      <c r="N138" t="str">
        <f t="shared" si="7"/>
        <v> Central Statistical Organization</v>
      </c>
      <c r="O138" t="str">
        <f t="shared" si="8"/>
        <v>http://www.csostat.gov.mm/</v>
      </c>
    </row>
    <row r="139" spans="1:15">
      <c r="A139" t="s">
        <v>674</v>
      </c>
      <c r="B139" t="s">
        <v>675</v>
      </c>
      <c r="C139" t="s">
        <v>676</v>
      </c>
      <c r="D139" t="s">
        <v>677</v>
      </c>
      <c r="E139" t="str">
        <f>VLOOKUP(D139,$K$3:$L$220,1,FALSE)</f>
        <v>Sri Lanka</v>
      </c>
      <c r="F139" t="str">
        <f>VLOOKUP(D139,$K$3:$L$220,2,FALSE)</f>
        <v>LKA</v>
      </c>
      <c r="G139" t="s">
        <v>677</v>
      </c>
      <c r="H139" t="s">
        <v>675</v>
      </c>
      <c r="I139" t="s">
        <v>676</v>
      </c>
      <c r="K139" t="s">
        <v>201</v>
      </c>
      <c r="L139" t="s">
        <v>678</v>
      </c>
      <c r="M139" t="str">
        <f t="shared" si="6"/>
        <v>Namibia</v>
      </c>
      <c r="N139" t="str">
        <f t="shared" si="7"/>
        <v> Central Bureau of Statistics</v>
      </c>
      <c r="O139" t="str">
        <f t="shared" si="8"/>
        <v>http://www.npc.gov.na/cbs/index.htm</v>
      </c>
    </row>
    <row r="140" spans="1:15">
      <c r="A140" t="s">
        <v>679</v>
      </c>
      <c r="B140" t="s">
        <v>680</v>
      </c>
      <c r="C140" t="s">
        <v>681</v>
      </c>
      <c r="D140" t="s">
        <v>682</v>
      </c>
      <c r="E140" s="4" t="e">
        <f>VLOOKUP(D140,$K$3:$L$220,1,FALSE)</f>
        <v>#N/A</v>
      </c>
      <c r="F140" s="4" t="e">
        <f>VLOOKUP(D140,$K$3:$L$220,2,FALSE)</f>
        <v>#N/A</v>
      </c>
      <c r="G140" t="s">
        <v>682</v>
      </c>
      <c r="H140" t="s">
        <v>680</v>
      </c>
      <c r="I140" t="s">
        <v>681</v>
      </c>
      <c r="K140" t="s">
        <v>683</v>
      </c>
      <c r="L140" t="s">
        <v>684</v>
      </c>
      <c r="M140" t="str">
        <f t="shared" si="6"/>
        <v>Nauru</v>
      </c>
      <c r="N140" t="str">
        <f t="shared" si="7"/>
        <v> Nauru Bureau of Statistics</v>
      </c>
      <c r="O140" t="str">
        <f t="shared" si="8"/>
        <v>http://www.spc.int/prism/country/nr/stats/</v>
      </c>
    </row>
    <row r="141" spans="1:15">
      <c r="A141" t="s">
        <v>685</v>
      </c>
      <c r="B141" t="s">
        <v>199</v>
      </c>
      <c r="C141" t="s">
        <v>686</v>
      </c>
      <c r="D141" t="s">
        <v>687</v>
      </c>
      <c r="E141" s="3" t="s">
        <v>688</v>
      </c>
      <c r="F141" s="3" t="s">
        <v>689</v>
      </c>
      <c r="G141" t="s">
        <v>687</v>
      </c>
      <c r="H141" t="s">
        <v>199</v>
      </c>
      <c r="I141" t="s">
        <v>686</v>
      </c>
      <c r="K141" t="s">
        <v>636</v>
      </c>
      <c r="L141" t="s">
        <v>690</v>
      </c>
      <c r="M141" t="str">
        <f t="shared" si="6"/>
        <v>Nepal</v>
      </c>
      <c r="N141" t="str">
        <f t="shared" si="7"/>
        <v> Central Bureau of Statistics</v>
      </c>
      <c r="O141" t="str">
        <f t="shared" si="8"/>
        <v>http://www.cbs.gov.np/</v>
      </c>
    </row>
    <row r="142" spans="1:15">
      <c r="A142" t="s">
        <v>691</v>
      </c>
      <c r="B142" t="s">
        <v>692</v>
      </c>
      <c r="C142" t="s">
        <v>693</v>
      </c>
      <c r="D142" t="s">
        <v>694</v>
      </c>
      <c r="E142" t="str">
        <f>VLOOKUP(D142,$K$3:$L$220,1,FALSE)</f>
        <v>Tajikistan</v>
      </c>
      <c r="F142" t="str">
        <f>VLOOKUP(D142,$K$3:$L$220,2,FALSE)</f>
        <v>TJK</v>
      </c>
      <c r="G142" t="s">
        <v>694</v>
      </c>
      <c r="H142" t="s">
        <v>692</v>
      </c>
      <c r="I142" t="s">
        <v>693</v>
      </c>
      <c r="K142" t="s">
        <v>695</v>
      </c>
      <c r="L142" t="s">
        <v>696</v>
      </c>
      <c r="M142" t="str">
        <f t="shared" si="6"/>
        <v>Netherlands</v>
      </c>
      <c r="N142" t="str">
        <f t="shared" si="7"/>
        <v> Statistics Netherlands</v>
      </c>
      <c r="O142" t="str">
        <f t="shared" si="8"/>
        <v>http://www.cbs.nl/</v>
      </c>
    </row>
    <row r="143" spans="1:15">
      <c r="A143" t="s">
        <v>697</v>
      </c>
      <c r="B143" t="s">
        <v>625</v>
      </c>
      <c r="C143" t="s">
        <v>698</v>
      </c>
      <c r="D143" t="s">
        <v>699</v>
      </c>
      <c r="E143" t="str">
        <f>VLOOKUP(D143,$K$3:$L$220,1,FALSE)</f>
        <v>Thailand</v>
      </c>
      <c r="F143" t="str">
        <f>VLOOKUP(D143,$K$3:$L$220,2,FALSE)</f>
        <v>THA</v>
      </c>
      <c r="G143" t="s">
        <v>699</v>
      </c>
      <c r="H143" t="s">
        <v>625</v>
      </c>
      <c r="I143" t="s">
        <v>698</v>
      </c>
      <c r="K143" s="4" t="s">
        <v>700</v>
      </c>
      <c r="L143" s="4" t="s">
        <v>701</v>
      </c>
      <c r="M143" s="4" t="e">
        <f t="shared" si="6"/>
        <v>#N/A</v>
      </c>
      <c r="N143" s="4" t="e">
        <f t="shared" si="7"/>
        <v>#N/A</v>
      </c>
      <c r="O143" s="4" t="e">
        <f t="shared" si="8"/>
        <v>#N/A</v>
      </c>
    </row>
    <row r="144" spans="1:15">
      <c r="A144" t="s">
        <v>702</v>
      </c>
      <c r="B144" t="s">
        <v>703</v>
      </c>
      <c r="C144" t="s">
        <v>704</v>
      </c>
      <c r="D144" t="s">
        <v>705</v>
      </c>
      <c r="E144" s="3" t="s">
        <v>706</v>
      </c>
      <c r="F144" s="3" t="s">
        <v>707</v>
      </c>
      <c r="G144" t="s">
        <v>705</v>
      </c>
      <c r="H144" t="s">
        <v>703</v>
      </c>
      <c r="I144" t="s">
        <v>704</v>
      </c>
      <c r="K144" t="s">
        <v>708</v>
      </c>
      <c r="L144" t="s">
        <v>709</v>
      </c>
      <c r="M144" t="str">
        <f t="shared" si="6"/>
        <v>New Zealand</v>
      </c>
      <c r="N144" t="str">
        <f t="shared" si="7"/>
        <v> Statistics New Zealand</v>
      </c>
      <c r="O144" t="str">
        <f t="shared" si="8"/>
        <v>http://www.stats.govt.nz/</v>
      </c>
    </row>
    <row r="145" spans="1:15">
      <c r="A145" t="s">
        <v>710</v>
      </c>
      <c r="B145" t="s">
        <v>711</v>
      </c>
      <c r="C145" t="s">
        <v>712</v>
      </c>
      <c r="D145" t="s">
        <v>713</v>
      </c>
      <c r="E145" s="3" t="s">
        <v>714</v>
      </c>
      <c r="F145" s="3" t="s">
        <v>715</v>
      </c>
      <c r="G145" t="s">
        <v>713</v>
      </c>
      <c r="H145" t="s">
        <v>711</v>
      </c>
      <c r="I145" t="s">
        <v>712</v>
      </c>
      <c r="K145" t="s">
        <v>396</v>
      </c>
      <c r="L145" t="s">
        <v>716</v>
      </c>
      <c r="M145" t="str">
        <f t="shared" si="6"/>
        <v>Nicaragua</v>
      </c>
      <c r="N145" t="str">
        <f t="shared" si="7"/>
        <v> Instituto Nacional de InformaciÃ³n de Desarrollo (INIDE)</v>
      </c>
      <c r="O145" t="str">
        <f t="shared" si="8"/>
        <v>http://www.inide.gob.ni/</v>
      </c>
    </row>
    <row r="146" spans="1:15">
      <c r="A146" t="s">
        <v>717</v>
      </c>
      <c r="B146" t="s">
        <v>718</v>
      </c>
      <c r="C146" t="s">
        <v>719</v>
      </c>
      <c r="D146" t="s">
        <v>720</v>
      </c>
      <c r="E146" t="str">
        <f>VLOOKUP(D146,$K$3:$L$220,1,FALSE)</f>
        <v>United Arab Emirates</v>
      </c>
      <c r="F146" t="str">
        <f>VLOOKUP(D146,$K$3:$L$220,2,FALSE)</f>
        <v>ARE</v>
      </c>
      <c r="G146" t="s">
        <v>720</v>
      </c>
      <c r="H146" t="s">
        <v>718</v>
      </c>
      <c r="I146" t="s">
        <v>719</v>
      </c>
      <c r="K146" t="s">
        <v>205</v>
      </c>
      <c r="L146" t="s">
        <v>721</v>
      </c>
      <c r="M146" t="str">
        <f t="shared" si="6"/>
        <v>Niger</v>
      </c>
      <c r="N146" t="str">
        <f t="shared" si="7"/>
        <v> Institut National de la Statistique</v>
      </c>
      <c r="O146" t="str">
        <f t="shared" si="8"/>
        <v>http://www.stat-niger.org/</v>
      </c>
    </row>
    <row r="147" spans="1:15">
      <c r="A147" t="s">
        <v>722</v>
      </c>
      <c r="B147" t="s">
        <v>723</v>
      </c>
      <c r="C147" t="s">
        <v>724</v>
      </c>
      <c r="D147" t="s">
        <v>725</v>
      </c>
      <c r="E147" t="str">
        <f>VLOOKUP(D147,$K$3:$L$220,1,FALSE)</f>
        <v>Uzbekistan</v>
      </c>
      <c r="F147" t="str">
        <f>VLOOKUP(D147,$K$3:$L$220,2,FALSE)</f>
        <v>UZB</v>
      </c>
      <c r="G147" t="s">
        <v>725</v>
      </c>
      <c r="H147" t="s">
        <v>723</v>
      </c>
      <c r="I147" t="s">
        <v>724</v>
      </c>
      <c r="K147" t="s">
        <v>210</v>
      </c>
      <c r="L147" t="s">
        <v>726</v>
      </c>
      <c r="M147" t="str">
        <f t="shared" si="6"/>
        <v>Nigeria</v>
      </c>
      <c r="N147" t="str">
        <f t="shared" si="7"/>
        <v> National Bureau of Statistics</v>
      </c>
      <c r="O147" t="str">
        <f t="shared" si="8"/>
        <v>http://www.nigerianstat.gov.ng/</v>
      </c>
    </row>
    <row r="148" spans="1:15">
      <c r="A148" t="s">
        <v>727</v>
      </c>
      <c r="B148" t="s">
        <v>728</v>
      </c>
      <c r="C148" t="s">
        <v>729</v>
      </c>
      <c r="D148" t="s">
        <v>730</v>
      </c>
      <c r="E148" s="3" t="s">
        <v>731</v>
      </c>
      <c r="F148" s="3" t="s">
        <v>732</v>
      </c>
      <c r="G148" t="s">
        <v>730</v>
      </c>
      <c r="H148" t="s">
        <v>728</v>
      </c>
      <c r="I148" t="s">
        <v>729</v>
      </c>
      <c r="K148" t="s">
        <v>733</v>
      </c>
      <c r="L148" t="s">
        <v>734</v>
      </c>
      <c r="M148" t="str">
        <f t="shared" si="6"/>
        <v>North Macedonia</v>
      </c>
      <c r="N148" t="str">
        <f t="shared" si="7"/>
        <v> State Statistical Office</v>
      </c>
      <c r="O148" t="str">
        <f t="shared" si="8"/>
        <v>http://www.stat.gov.mk/</v>
      </c>
    </row>
    <row r="149" spans="1:15">
      <c r="A149" t="s">
        <v>735</v>
      </c>
      <c r="B149" t="s">
        <v>736</v>
      </c>
      <c r="C149" t="s">
        <v>737</v>
      </c>
      <c r="D149" t="s">
        <v>738</v>
      </c>
      <c r="E149" s="4" t="e">
        <f>VLOOKUP(D149,$K$3:$L$220,1,FALSE)</f>
        <v>#N/A</v>
      </c>
      <c r="F149" s="4" t="e">
        <f>VLOOKUP(D149,$K$3:$L$220,2,FALSE)</f>
        <v>#N/A</v>
      </c>
      <c r="G149" t="s">
        <v>738</v>
      </c>
      <c r="H149" t="s">
        <v>736</v>
      </c>
      <c r="I149" t="s">
        <v>737</v>
      </c>
      <c r="K149" t="s">
        <v>739</v>
      </c>
      <c r="L149" t="s">
        <v>740</v>
      </c>
      <c r="M149" t="str">
        <f t="shared" si="6"/>
        <v>Northern Mariana Islands</v>
      </c>
      <c r="N149" t="str">
        <f t="shared" si="7"/>
        <v> Department of Commerce: Central Statistics Division</v>
      </c>
      <c r="O149" t="str">
        <f t="shared" si="8"/>
        <v>http://commerce.gov.mp/divisions/central-statistics/</v>
      </c>
    </row>
    <row r="150" spans="1:15">
      <c r="A150" t="s">
        <v>20</v>
      </c>
      <c r="B150" t="s">
        <v>741</v>
      </c>
      <c r="C150" t="s">
        <v>742</v>
      </c>
      <c r="D150" t="s">
        <v>20</v>
      </c>
      <c r="E150" t="str">
        <f>VLOOKUP(D150,$K$3:$L$220,1,FALSE)</f>
        <v>Albania</v>
      </c>
      <c r="F150" t="str">
        <f>VLOOKUP(D150,$K$3:$L$220,2,FALSE)</f>
        <v>ALB</v>
      </c>
      <c r="G150" t="s">
        <v>20</v>
      </c>
      <c r="H150" t="s">
        <v>741</v>
      </c>
      <c r="I150" t="s">
        <v>742</v>
      </c>
      <c r="K150" t="s">
        <v>743</v>
      </c>
      <c r="L150" t="s">
        <v>744</v>
      </c>
      <c r="M150" t="str">
        <f t="shared" si="6"/>
        <v>Norway</v>
      </c>
      <c r="N150" t="str">
        <f t="shared" si="7"/>
        <v> Statistics Norway</v>
      </c>
      <c r="O150" t="str">
        <f t="shared" si="8"/>
        <v>http://www.ssb.no/</v>
      </c>
    </row>
    <row r="151" spans="1:15">
      <c r="A151" t="s">
        <v>745</v>
      </c>
      <c r="B151" t="s">
        <v>746</v>
      </c>
      <c r="C151" t="s">
        <v>747</v>
      </c>
      <c r="D151" t="s">
        <v>37</v>
      </c>
      <c r="E151" t="str">
        <f>VLOOKUP(D151,$K$3:$L$220,1,FALSE)</f>
        <v>Andorra</v>
      </c>
      <c r="F151" t="str">
        <f>VLOOKUP(D151,$K$3:$L$220,2,FALSE)</f>
        <v>AND</v>
      </c>
      <c r="G151" t="s">
        <v>37</v>
      </c>
      <c r="H151" t="s">
        <v>746</v>
      </c>
      <c r="I151" t="s">
        <v>747</v>
      </c>
      <c r="K151" t="s">
        <v>642</v>
      </c>
      <c r="L151" t="s">
        <v>748</v>
      </c>
      <c r="M151" t="str">
        <f t="shared" si="6"/>
        <v>Oman</v>
      </c>
      <c r="N151" t="str">
        <f t="shared" si="7"/>
        <v> National Center for Statistics &amp; Information</v>
      </c>
      <c r="O151" t="str">
        <f t="shared" si="8"/>
        <v>http://www.ncsi.gov.om/NCSI_website/NCSI_EN.aspx</v>
      </c>
    </row>
    <row r="152" spans="1:15">
      <c r="A152" t="s">
        <v>749</v>
      </c>
      <c r="B152" t="s">
        <v>750</v>
      </c>
      <c r="C152" t="s">
        <v>751</v>
      </c>
      <c r="D152" t="s">
        <v>81</v>
      </c>
      <c r="E152" t="str">
        <f>VLOOKUP(D152,$K$3:$L$220,1,FALSE)</f>
        <v>Austria</v>
      </c>
      <c r="F152" t="str">
        <f>VLOOKUP(D152,$K$3:$L$220,2,FALSE)</f>
        <v>AUT</v>
      </c>
      <c r="G152" t="s">
        <v>81</v>
      </c>
      <c r="H152" t="s">
        <v>750</v>
      </c>
      <c r="I152" t="s">
        <v>751</v>
      </c>
      <c r="K152" t="s">
        <v>645</v>
      </c>
      <c r="L152" t="s">
        <v>752</v>
      </c>
      <c r="M152" t="str">
        <f t="shared" si="6"/>
        <v>Pakistan</v>
      </c>
      <c r="N152" t="str">
        <f t="shared" si="7"/>
        <v> Federal Bureau of Statistics</v>
      </c>
      <c r="O152" t="str">
        <f t="shared" si="8"/>
        <v>http://www.pbs.gov.pk/</v>
      </c>
    </row>
    <row r="153" spans="1:15">
      <c r="A153" t="s">
        <v>753</v>
      </c>
      <c r="B153" t="s">
        <v>754</v>
      </c>
      <c r="C153" t="s">
        <v>755</v>
      </c>
      <c r="D153" t="s">
        <v>121</v>
      </c>
      <c r="E153" t="str">
        <f>VLOOKUP(D153,$K$3:$L$220,1,FALSE)</f>
        <v>Belarus</v>
      </c>
      <c r="F153" t="str">
        <f>VLOOKUP(D153,$K$3:$L$220,2,FALSE)</f>
        <v>BLR</v>
      </c>
      <c r="G153" t="s">
        <v>121</v>
      </c>
      <c r="H153" t="s">
        <v>754</v>
      </c>
      <c r="I153" t="s">
        <v>755</v>
      </c>
      <c r="K153" t="s">
        <v>756</v>
      </c>
      <c r="L153" t="s">
        <v>757</v>
      </c>
      <c r="M153" t="str">
        <f t="shared" si="6"/>
        <v>Palau</v>
      </c>
      <c r="N153" t="str">
        <f t="shared" si="7"/>
        <v> Palau Statistics</v>
      </c>
      <c r="O153" t="str">
        <f t="shared" si="8"/>
        <v>http://www.palaugov.net/stats/</v>
      </c>
    </row>
    <row r="154" spans="1:15">
      <c r="A154" t="s">
        <v>758</v>
      </c>
      <c r="B154" t="s">
        <v>759</v>
      </c>
      <c r="C154" t="s">
        <v>760</v>
      </c>
      <c r="D154" t="s">
        <v>126</v>
      </c>
      <c r="E154" t="str">
        <f>VLOOKUP(D154,$K$3:$L$220,1,FALSE)</f>
        <v>Belgium</v>
      </c>
      <c r="F154" t="str">
        <f>VLOOKUP(D154,$K$3:$L$220,2,FALSE)</f>
        <v>BEL</v>
      </c>
      <c r="G154" t="s">
        <v>126</v>
      </c>
      <c r="H154" t="s">
        <v>759</v>
      </c>
      <c r="I154" t="s">
        <v>760</v>
      </c>
      <c r="K154" t="s">
        <v>401</v>
      </c>
      <c r="L154" t="s">
        <v>761</v>
      </c>
      <c r="M154" t="str">
        <f t="shared" si="6"/>
        <v>Panama</v>
      </c>
      <c r="N154" t="str">
        <f t="shared" si="7"/>
        <v> Dirección Nacional de Estadística y Censo</v>
      </c>
      <c r="O154" t="str">
        <f t="shared" si="8"/>
        <v>http://www.contraloria.gob.pa/inec/</v>
      </c>
    </row>
    <row r="155" spans="1:15">
      <c r="A155" t="s">
        <v>762</v>
      </c>
      <c r="B155" t="s">
        <v>763</v>
      </c>
      <c r="C155" t="s">
        <v>764</v>
      </c>
      <c r="D155" t="s">
        <v>159</v>
      </c>
      <c r="E155" t="str">
        <f>VLOOKUP(D155,$K$3:$L$220,1,FALSE)</f>
        <v>Bosnia and Herzegovina</v>
      </c>
      <c r="F155" t="str">
        <f>VLOOKUP(D155,$K$3:$L$220,2,FALSE)</f>
        <v>BIH</v>
      </c>
      <c r="G155" t="s">
        <v>159</v>
      </c>
      <c r="H155" t="s">
        <v>763</v>
      </c>
      <c r="I155" t="s">
        <v>764</v>
      </c>
      <c r="K155" t="s">
        <v>765</v>
      </c>
      <c r="L155" t="s">
        <v>766</v>
      </c>
      <c r="M155" t="str">
        <f t="shared" si="6"/>
        <v>Papua New Guinea</v>
      </c>
      <c r="N155" t="str">
        <f t="shared" si="7"/>
        <v> National Statistical Office of Papua New Guinea</v>
      </c>
      <c r="O155" t="str">
        <f t="shared" si="8"/>
        <v>http://www.nso.gov.pg/</v>
      </c>
    </row>
    <row r="156" spans="1:15">
      <c r="A156" t="s">
        <v>762</v>
      </c>
      <c r="B156" t="s">
        <v>767</v>
      </c>
      <c r="C156" t="s">
        <v>768</v>
      </c>
      <c r="D156" t="s">
        <v>159</v>
      </c>
      <c r="E156" t="str">
        <f>VLOOKUP(D156,$K$3:$L$220,1,FALSE)</f>
        <v>Bosnia and Herzegovina</v>
      </c>
      <c r="F156" t="str">
        <f>VLOOKUP(D156,$K$3:$L$220,2,FALSE)</f>
        <v>BIH</v>
      </c>
      <c r="G156" t="s">
        <v>159</v>
      </c>
      <c r="H156" t="s">
        <v>767</v>
      </c>
      <c r="I156" t="s">
        <v>768</v>
      </c>
      <c r="K156" t="s">
        <v>406</v>
      </c>
      <c r="L156" t="s">
        <v>769</v>
      </c>
      <c r="M156" t="str">
        <f t="shared" si="6"/>
        <v>Paraguay</v>
      </c>
      <c r="N156" t="str">
        <f t="shared" si="7"/>
        <v> Dirección General de Estadìstica, Encuestas y Censos</v>
      </c>
      <c r="O156" t="str">
        <f t="shared" si="8"/>
        <v>http://www.dgeec.gov.py/</v>
      </c>
    </row>
    <row r="157" spans="1:15">
      <c r="A157" t="s">
        <v>762</v>
      </c>
      <c r="B157" t="s">
        <v>770</v>
      </c>
      <c r="C157" t="s">
        <v>771</v>
      </c>
      <c r="D157" t="s">
        <v>159</v>
      </c>
      <c r="E157" t="str">
        <f>VLOOKUP(D157,$K$3:$L$220,1,FALSE)</f>
        <v>Bosnia and Herzegovina</v>
      </c>
      <c r="F157" t="str">
        <f>VLOOKUP(D157,$K$3:$L$220,2,FALSE)</f>
        <v>BIH</v>
      </c>
      <c r="G157" t="s">
        <v>159</v>
      </c>
      <c r="H157" t="s">
        <v>770</v>
      </c>
      <c r="I157" t="s">
        <v>771</v>
      </c>
      <c r="K157" t="s">
        <v>411</v>
      </c>
      <c r="L157" t="s">
        <v>772</v>
      </c>
      <c r="M157" t="str">
        <f t="shared" si="6"/>
        <v>Peru</v>
      </c>
      <c r="N157" t="str">
        <f t="shared" si="7"/>
        <v> Instituto Nacional de Estadística e Informática (INEI)</v>
      </c>
      <c r="O157" t="str">
        <f t="shared" si="8"/>
        <v>http://www.inei.gob.pe/</v>
      </c>
    </row>
    <row r="158" spans="1:15">
      <c r="A158" t="s">
        <v>773</v>
      </c>
      <c r="B158" t="s">
        <v>774</v>
      </c>
      <c r="C158" t="s">
        <v>775</v>
      </c>
      <c r="D158" t="s">
        <v>187</v>
      </c>
      <c r="E158" t="str">
        <f>VLOOKUP(D158,$K$3:$L$220,1,FALSE)</f>
        <v>Bulgaria</v>
      </c>
      <c r="F158" t="str">
        <f>VLOOKUP(D158,$K$3:$L$220,2,FALSE)</f>
        <v>BGR</v>
      </c>
      <c r="G158" t="s">
        <v>187</v>
      </c>
      <c r="H158" t="s">
        <v>774</v>
      </c>
      <c r="I158" t="s">
        <v>775</v>
      </c>
      <c r="K158" t="s">
        <v>656</v>
      </c>
      <c r="L158" t="s">
        <v>776</v>
      </c>
      <c r="M158" t="str">
        <f t="shared" si="6"/>
        <v>Philippines</v>
      </c>
      <c r="N158" t="str">
        <f t="shared" si="7"/>
        <v> Philippine Statistics Authority</v>
      </c>
      <c r="O158" t="str">
        <f t="shared" si="8"/>
        <v>http://www.psa.gov.ph/</v>
      </c>
    </row>
    <row r="159" spans="1:15">
      <c r="A159" t="s">
        <v>777</v>
      </c>
      <c r="B159" t="s">
        <v>778</v>
      </c>
      <c r="C159" t="s">
        <v>779</v>
      </c>
      <c r="D159" t="s">
        <v>289</v>
      </c>
      <c r="E159" t="str">
        <f>VLOOKUP(D159,$K$3:$L$220,1,FALSE)</f>
        <v>Croatia</v>
      </c>
      <c r="F159" t="str">
        <f>VLOOKUP(D159,$K$3:$L$220,2,FALSE)</f>
        <v>HRV</v>
      </c>
      <c r="G159" t="s">
        <v>289</v>
      </c>
      <c r="H159" t="s">
        <v>778</v>
      </c>
      <c r="I159" t="s">
        <v>779</v>
      </c>
      <c r="K159" t="s">
        <v>780</v>
      </c>
      <c r="L159" t="s">
        <v>781</v>
      </c>
      <c r="M159" t="str">
        <f t="shared" si="6"/>
        <v>Poland</v>
      </c>
      <c r="N159" t="str">
        <f t="shared" si="7"/>
        <v> Statistics Poland</v>
      </c>
      <c r="O159" t="str">
        <f t="shared" si="8"/>
        <v>http://www.stat.gov.pl/</v>
      </c>
    </row>
    <row r="160" spans="1:15">
      <c r="A160" t="s">
        <v>782</v>
      </c>
      <c r="B160" t="s">
        <v>783</v>
      </c>
      <c r="C160" t="s">
        <v>784</v>
      </c>
      <c r="D160" t="s">
        <v>785</v>
      </c>
      <c r="E160" s="3" t="s">
        <v>310</v>
      </c>
      <c r="F160" s="3" t="s">
        <v>311</v>
      </c>
      <c r="G160" t="s">
        <v>785</v>
      </c>
      <c r="H160" t="s">
        <v>783</v>
      </c>
      <c r="I160" t="s">
        <v>784</v>
      </c>
      <c r="K160" t="s">
        <v>786</v>
      </c>
      <c r="L160" t="s">
        <v>787</v>
      </c>
      <c r="M160" t="str">
        <f t="shared" si="6"/>
        <v>Portugal</v>
      </c>
      <c r="N160" t="str">
        <f t="shared" si="7"/>
        <v> Instituto Nacional de Estatística</v>
      </c>
      <c r="O160" t="str">
        <f t="shared" si="8"/>
        <v>http://www.ine.pt/</v>
      </c>
    </row>
    <row r="161" spans="1:15">
      <c r="A161" t="s">
        <v>788</v>
      </c>
      <c r="B161" t="s">
        <v>789</v>
      </c>
      <c r="C161" t="s">
        <v>790</v>
      </c>
      <c r="D161" t="s">
        <v>313</v>
      </c>
      <c r="E161" t="str">
        <f>VLOOKUP(D161,$K$3:$L$220,1,FALSE)</f>
        <v>Denmark</v>
      </c>
      <c r="F161" t="str">
        <f>VLOOKUP(D161,$K$3:$L$220,2,FALSE)</f>
        <v>DNK</v>
      </c>
      <c r="G161" t="s">
        <v>313</v>
      </c>
      <c r="H161" t="s">
        <v>789</v>
      </c>
      <c r="I161" t="s">
        <v>790</v>
      </c>
      <c r="K161" s="4" t="s">
        <v>791</v>
      </c>
      <c r="L161" s="4" t="s">
        <v>792</v>
      </c>
      <c r="M161" s="4" t="e">
        <f t="shared" si="6"/>
        <v>#N/A</v>
      </c>
      <c r="N161" s="4" t="e">
        <f t="shared" si="7"/>
        <v>#N/A</v>
      </c>
      <c r="O161" s="4" t="e">
        <f t="shared" si="8"/>
        <v>#N/A</v>
      </c>
    </row>
    <row r="162" spans="1:15">
      <c r="A162" t="s">
        <v>793</v>
      </c>
      <c r="B162" t="s">
        <v>794</v>
      </c>
      <c r="C162" t="s">
        <v>795</v>
      </c>
      <c r="D162" t="s">
        <v>346</v>
      </c>
      <c r="E162" t="str">
        <f>VLOOKUP(D162,$K$3:$L$220,1,FALSE)</f>
        <v>Estonia</v>
      </c>
      <c r="F162" t="str">
        <f>VLOOKUP(D162,$K$3:$L$220,2,FALSE)</f>
        <v>EST</v>
      </c>
      <c r="G162" t="s">
        <v>346</v>
      </c>
      <c r="H162" t="s">
        <v>794</v>
      </c>
      <c r="I162" t="s">
        <v>795</v>
      </c>
      <c r="K162" t="s">
        <v>662</v>
      </c>
      <c r="L162" t="s">
        <v>796</v>
      </c>
      <c r="M162" t="str">
        <f t="shared" si="6"/>
        <v>Qatar</v>
      </c>
      <c r="N162" t="str">
        <f t="shared" si="7"/>
        <v> Statistics Authority</v>
      </c>
      <c r="O162" t="str">
        <f t="shared" si="8"/>
        <v>http://www.qsa.gov.qa/eng/index.htm</v>
      </c>
    </row>
    <row r="163" spans="1:15">
      <c r="A163" t="s">
        <v>797</v>
      </c>
      <c r="B163" t="s">
        <v>798</v>
      </c>
      <c r="C163" t="s">
        <v>799</v>
      </c>
      <c r="D163" t="s">
        <v>354</v>
      </c>
      <c r="E163" t="str">
        <f>VLOOKUP(D163,$K$3:$L$220,1,FALSE)</f>
        <v>Faroe Islands</v>
      </c>
      <c r="F163" t="str">
        <f>VLOOKUP(D163,$K$3:$L$220,2,FALSE)</f>
        <v>FRO</v>
      </c>
      <c r="G163" t="s">
        <v>354</v>
      </c>
      <c r="H163" t="s">
        <v>798</v>
      </c>
      <c r="I163" t="s">
        <v>799</v>
      </c>
      <c r="K163" t="s">
        <v>800</v>
      </c>
      <c r="L163" t="s">
        <v>801</v>
      </c>
      <c r="M163" t="str">
        <f t="shared" si="6"/>
        <v>Romania</v>
      </c>
      <c r="N163" t="str">
        <f t="shared" si="7"/>
        <v> National Institute of Statistics</v>
      </c>
      <c r="O163" t="str">
        <f t="shared" si="8"/>
        <v>http://www.insse.ro/</v>
      </c>
    </row>
    <row r="164" spans="1:15">
      <c r="A164" t="s">
        <v>802</v>
      </c>
      <c r="B164" t="s">
        <v>803</v>
      </c>
      <c r="C164" t="s">
        <v>804</v>
      </c>
      <c r="D164" t="s">
        <v>361</v>
      </c>
      <c r="E164" t="str">
        <f>VLOOKUP(D164,$K$3:$L$220,1,FALSE)</f>
        <v>Finland</v>
      </c>
      <c r="F164" t="str">
        <f>VLOOKUP(D164,$K$3:$L$220,2,FALSE)</f>
        <v>FIN</v>
      </c>
      <c r="G164" t="s">
        <v>361</v>
      </c>
      <c r="H164" t="s">
        <v>803</v>
      </c>
      <c r="I164" t="s">
        <v>804</v>
      </c>
      <c r="K164" t="s">
        <v>805</v>
      </c>
      <c r="L164" t="s">
        <v>806</v>
      </c>
      <c r="M164" t="str">
        <f t="shared" si="6"/>
        <v>Russian Federation</v>
      </c>
      <c r="N164" t="str">
        <f t="shared" si="7"/>
        <v> Federal State Statistics Service</v>
      </c>
      <c r="O164" t="str">
        <f t="shared" si="8"/>
        <v>http://www.gks.ru/</v>
      </c>
    </row>
    <row r="165" spans="1:15">
      <c r="A165" t="s">
        <v>807</v>
      </c>
      <c r="B165" t="s">
        <v>808</v>
      </c>
      <c r="C165" t="s">
        <v>809</v>
      </c>
      <c r="D165" t="s">
        <v>365</v>
      </c>
      <c r="E165" t="str">
        <f>VLOOKUP(D165,$K$3:$L$220,1,FALSE)</f>
        <v>France</v>
      </c>
      <c r="F165" t="str">
        <f>VLOOKUP(D165,$K$3:$L$220,2,FALSE)</f>
        <v>FRA</v>
      </c>
      <c r="G165" t="s">
        <v>365</v>
      </c>
      <c r="H165" t="s">
        <v>808</v>
      </c>
      <c r="I165" t="s">
        <v>809</v>
      </c>
      <c r="K165" t="s">
        <v>215</v>
      </c>
      <c r="L165" t="s">
        <v>810</v>
      </c>
      <c r="M165" t="str">
        <f t="shared" si="6"/>
        <v>Rwanda</v>
      </c>
      <c r="N165" t="str">
        <f t="shared" si="7"/>
        <v> National Institute of Statistics of Rwanda</v>
      </c>
      <c r="O165" t="str">
        <f t="shared" si="8"/>
        <v>http://www.statistics.gov.rw/</v>
      </c>
    </row>
    <row r="166" spans="1:15">
      <c r="A166" t="s">
        <v>807</v>
      </c>
      <c r="B166" t="s">
        <v>811</v>
      </c>
      <c r="C166" t="s">
        <v>812</v>
      </c>
      <c r="D166" t="s">
        <v>365</v>
      </c>
      <c r="E166" t="str">
        <f>VLOOKUP(D166,$K$3:$L$220,1,FALSE)</f>
        <v>France</v>
      </c>
      <c r="F166" t="str">
        <f>VLOOKUP(D166,$K$3:$L$220,2,FALSE)</f>
        <v>FRA</v>
      </c>
      <c r="G166" t="s">
        <v>365</v>
      </c>
      <c r="H166" t="s">
        <v>811</v>
      </c>
      <c r="I166" t="s">
        <v>812</v>
      </c>
      <c r="K166" t="s">
        <v>813</v>
      </c>
      <c r="L166" t="s">
        <v>814</v>
      </c>
      <c r="M166" t="str">
        <f t="shared" si="6"/>
        <v>Samoa</v>
      </c>
      <c r="N166" t="str">
        <f t="shared" si="7"/>
        <v> Samoa Bureau of Statistics</v>
      </c>
      <c r="O166" t="str">
        <f t="shared" si="8"/>
        <v>http://www.sbs.gov.ws/</v>
      </c>
    </row>
    <row r="167" spans="1:15">
      <c r="A167" t="s">
        <v>815</v>
      </c>
      <c r="B167" t="s">
        <v>816</v>
      </c>
      <c r="C167" t="s">
        <v>817</v>
      </c>
      <c r="D167" t="s">
        <v>385</v>
      </c>
      <c r="E167" t="str">
        <f>VLOOKUP(D167,$K$3:$L$220,1,FALSE)</f>
        <v>Germany</v>
      </c>
      <c r="F167" t="str">
        <f>VLOOKUP(D167,$K$3:$L$220,2,FALSE)</f>
        <v>DEU</v>
      </c>
      <c r="G167" t="s">
        <v>385</v>
      </c>
      <c r="H167" t="s">
        <v>816</v>
      </c>
      <c r="I167" t="s">
        <v>817</v>
      </c>
      <c r="K167" t="s">
        <v>818</v>
      </c>
      <c r="L167" t="s">
        <v>819</v>
      </c>
      <c r="M167" t="str">
        <f t="shared" si="6"/>
        <v>San Marino</v>
      </c>
      <c r="N167" t="str">
        <f t="shared" si="7"/>
        <v> Office of Economic Planning Data Processing and Statistics</v>
      </c>
      <c r="O167" t="str">
        <f t="shared" si="8"/>
        <v>http://www.upeceds.sm/</v>
      </c>
    </row>
    <row r="168" spans="1:15">
      <c r="A168" t="s">
        <v>820</v>
      </c>
      <c r="B168" t="s">
        <v>821</v>
      </c>
      <c r="C168" t="s">
        <v>822</v>
      </c>
      <c r="D168" t="s">
        <v>399</v>
      </c>
      <c r="E168" t="str">
        <f>VLOOKUP(D168,$K$3:$L$220,1,FALSE)</f>
        <v>Greece</v>
      </c>
      <c r="F168" t="str">
        <f>VLOOKUP(D168,$K$3:$L$220,2,FALSE)</f>
        <v>GRC</v>
      </c>
      <c r="G168" t="s">
        <v>399</v>
      </c>
      <c r="H168" t="s">
        <v>821</v>
      </c>
      <c r="I168" t="s">
        <v>822</v>
      </c>
      <c r="K168" t="s">
        <v>222</v>
      </c>
      <c r="L168" t="s">
        <v>223</v>
      </c>
      <c r="M168" t="str">
        <f t="shared" si="6"/>
        <v>Sao Tome and Principe</v>
      </c>
      <c r="N168" t="str">
        <f t="shared" si="7"/>
        <v> Instituto Nacional de Estatisticas</v>
      </c>
      <c r="O168" t="str">
        <f t="shared" si="8"/>
        <v>http://www.ine.st/</v>
      </c>
    </row>
    <row r="169" spans="1:15">
      <c r="A169" t="s">
        <v>823</v>
      </c>
      <c r="B169" t="s">
        <v>824</v>
      </c>
      <c r="C169" t="s">
        <v>825</v>
      </c>
      <c r="D169" t="s">
        <v>404</v>
      </c>
      <c r="E169" t="str">
        <f>VLOOKUP(D169,$K$3:$L$220,1,FALSE)</f>
        <v>Greenland</v>
      </c>
      <c r="F169" t="str">
        <f>VLOOKUP(D169,$K$3:$L$220,2,FALSE)</f>
        <v>GRL</v>
      </c>
      <c r="G169" t="s">
        <v>404</v>
      </c>
      <c r="H169" t="s">
        <v>824</v>
      </c>
      <c r="I169" t="s">
        <v>825</v>
      </c>
      <c r="K169" t="s">
        <v>667</v>
      </c>
      <c r="L169" t="s">
        <v>826</v>
      </c>
      <c r="M169" t="str">
        <f t="shared" si="6"/>
        <v>Saudi Arabia</v>
      </c>
      <c r="N169" t="str">
        <f t="shared" si="7"/>
        <v> General Authority for Statistcs</v>
      </c>
      <c r="O169" t="str">
        <f t="shared" si="8"/>
        <v>https://www.stats.gov.sa/en</v>
      </c>
    </row>
    <row r="170" spans="1:15">
      <c r="A170" t="s">
        <v>827</v>
      </c>
      <c r="B170" t="s">
        <v>828</v>
      </c>
      <c r="C170" t="s">
        <v>829</v>
      </c>
      <c r="D170" t="s">
        <v>449</v>
      </c>
      <c r="E170" t="str">
        <f>VLOOKUP(D170,$K$3:$L$220,1,FALSE)</f>
        <v>Hungary</v>
      </c>
      <c r="F170" t="str">
        <f>VLOOKUP(D170,$K$3:$L$220,2,FALSE)</f>
        <v>HUN</v>
      </c>
      <c r="G170" t="s">
        <v>449</v>
      </c>
      <c r="H170" t="s">
        <v>828</v>
      </c>
      <c r="I170" t="s">
        <v>829</v>
      </c>
      <c r="K170" t="s">
        <v>229</v>
      </c>
      <c r="L170" t="s">
        <v>830</v>
      </c>
      <c r="M170" t="str">
        <f t="shared" si="6"/>
        <v>Senegal</v>
      </c>
      <c r="N170" t="str">
        <f t="shared" si="7"/>
        <v> Agence Nationale de la Statistique de la Demographie</v>
      </c>
      <c r="O170" t="str">
        <f t="shared" si="8"/>
        <v>http://www.ansd.sn/</v>
      </c>
    </row>
    <row r="171" spans="1:15">
      <c r="A171" t="s">
        <v>831</v>
      </c>
      <c r="B171" t="s">
        <v>832</v>
      </c>
      <c r="C171" t="s">
        <v>833</v>
      </c>
      <c r="D171" t="s">
        <v>453</v>
      </c>
      <c r="E171" t="str">
        <f>VLOOKUP(D171,$K$3:$L$220,1,FALSE)</f>
        <v>Iceland</v>
      </c>
      <c r="F171" t="str">
        <f>VLOOKUP(D171,$K$3:$L$220,2,FALSE)</f>
        <v>ISL</v>
      </c>
      <c r="G171" t="s">
        <v>453</v>
      </c>
      <c r="H171" t="s">
        <v>832</v>
      </c>
      <c r="I171" t="s">
        <v>833</v>
      </c>
      <c r="K171" t="s">
        <v>834</v>
      </c>
      <c r="L171" t="s">
        <v>835</v>
      </c>
      <c r="M171" t="str">
        <f t="shared" si="6"/>
        <v>Serbia</v>
      </c>
      <c r="N171" t="str">
        <f t="shared" si="7"/>
        <v> Statistical Office of the Republic of Serbia</v>
      </c>
      <c r="O171" t="str">
        <f t="shared" si="8"/>
        <v>http://webrzs.stat.gov.rs/WebSite/</v>
      </c>
    </row>
    <row r="172" spans="1:15">
      <c r="A172" t="s">
        <v>836</v>
      </c>
      <c r="B172" t="s">
        <v>837</v>
      </c>
      <c r="C172" t="s">
        <v>838</v>
      </c>
      <c r="D172" t="s">
        <v>473</v>
      </c>
      <c r="E172" t="str">
        <f>VLOOKUP(D172,$K$3:$L$220,1,FALSE)</f>
        <v>Ireland</v>
      </c>
      <c r="F172" t="str">
        <f>VLOOKUP(D172,$K$3:$L$220,2,FALSE)</f>
        <v>IRL</v>
      </c>
      <c r="G172" t="s">
        <v>473</v>
      </c>
      <c r="H172" t="s">
        <v>837</v>
      </c>
      <c r="I172" t="s">
        <v>838</v>
      </c>
      <c r="K172" t="s">
        <v>233</v>
      </c>
      <c r="L172" t="s">
        <v>839</v>
      </c>
      <c r="M172" t="str">
        <f t="shared" si="6"/>
        <v>Seychelles</v>
      </c>
      <c r="N172" t="str">
        <f t="shared" si="7"/>
        <v> National Bureau of Statistics</v>
      </c>
      <c r="O172" t="str">
        <f t="shared" si="8"/>
        <v>http://www.nsb.gov.sc/</v>
      </c>
    </row>
    <row r="173" spans="1:15">
      <c r="A173" t="s">
        <v>840</v>
      </c>
      <c r="B173" t="s">
        <v>841</v>
      </c>
      <c r="C173" t="s">
        <v>842</v>
      </c>
      <c r="D173" t="s">
        <v>485</v>
      </c>
      <c r="E173" t="str">
        <f>VLOOKUP(D173,$K$3:$L$220,1,FALSE)</f>
        <v>Italy</v>
      </c>
      <c r="F173" t="str">
        <f>VLOOKUP(D173,$K$3:$L$220,2,FALSE)</f>
        <v>ITA</v>
      </c>
      <c r="G173" t="s">
        <v>485</v>
      </c>
      <c r="H173" t="s">
        <v>841</v>
      </c>
      <c r="I173" t="s">
        <v>842</v>
      </c>
      <c r="K173" t="s">
        <v>238</v>
      </c>
      <c r="L173" t="s">
        <v>843</v>
      </c>
      <c r="M173" t="str">
        <f t="shared" si="6"/>
        <v>Sierra Leone</v>
      </c>
      <c r="N173" t="str">
        <f t="shared" si="7"/>
        <v> Statistics Sierra Leone</v>
      </c>
      <c r="O173" t="str">
        <f t="shared" si="8"/>
        <v>http://www.statistics.sl/</v>
      </c>
    </row>
    <row r="174" spans="1:15">
      <c r="A174" t="s">
        <v>844</v>
      </c>
      <c r="B174" t="s">
        <v>845</v>
      </c>
      <c r="C174" t="s">
        <v>846</v>
      </c>
      <c r="D174" t="s">
        <v>552</v>
      </c>
      <c r="E174" t="str">
        <f>VLOOKUP(D174,$K$3:$L$220,1,FALSE)</f>
        <v>Latvia</v>
      </c>
      <c r="F174" t="str">
        <f>VLOOKUP(D174,$K$3:$L$220,2,FALSE)</f>
        <v>LVA</v>
      </c>
      <c r="G174" t="s">
        <v>552</v>
      </c>
      <c r="H174" t="s">
        <v>845</v>
      </c>
      <c r="I174" t="s">
        <v>846</v>
      </c>
      <c r="K174" t="s">
        <v>672</v>
      </c>
      <c r="L174" t="s">
        <v>847</v>
      </c>
      <c r="M174" t="str">
        <f t="shared" si="6"/>
        <v>Singapore</v>
      </c>
      <c r="N174" t="str">
        <f t="shared" si="7"/>
        <v> Singapore Department of Statistics</v>
      </c>
      <c r="O174" t="str">
        <f t="shared" si="8"/>
        <v>http://www.singstat.gov.sg/</v>
      </c>
    </row>
    <row r="175" spans="1:15">
      <c r="A175" t="s">
        <v>848</v>
      </c>
      <c r="B175" t="s">
        <v>375</v>
      </c>
      <c r="C175" t="s">
        <v>849</v>
      </c>
      <c r="D175" t="s">
        <v>574</v>
      </c>
      <c r="E175" t="str">
        <f>VLOOKUP(D175,$K$3:$L$220,1,FALSE)</f>
        <v>Liechtenstein</v>
      </c>
      <c r="F175" t="str">
        <f>VLOOKUP(D175,$K$3:$L$220,2,FALSE)</f>
        <v>LIE</v>
      </c>
      <c r="G175" t="s">
        <v>574</v>
      </c>
      <c r="H175" t="s">
        <v>375</v>
      </c>
      <c r="I175" t="s">
        <v>849</v>
      </c>
      <c r="K175" s="4" t="s">
        <v>850</v>
      </c>
      <c r="L175" s="4" t="s">
        <v>851</v>
      </c>
      <c r="M175" s="4" t="e">
        <f t="shared" si="6"/>
        <v>#N/A</v>
      </c>
      <c r="N175" s="4" t="e">
        <f t="shared" si="7"/>
        <v>#N/A</v>
      </c>
      <c r="O175" s="4" t="e">
        <f t="shared" si="8"/>
        <v>#N/A</v>
      </c>
    </row>
    <row r="176" spans="1:15">
      <c r="A176" t="s">
        <v>852</v>
      </c>
      <c r="B176" t="s">
        <v>853</v>
      </c>
      <c r="C176" t="s">
        <v>854</v>
      </c>
      <c r="D176" t="s">
        <v>578</v>
      </c>
      <c r="E176" t="str">
        <f>VLOOKUP(D176,$K$3:$L$220,1,FALSE)</f>
        <v>Lithuania</v>
      </c>
      <c r="F176" t="str">
        <f>VLOOKUP(D176,$K$3:$L$220,2,FALSE)</f>
        <v>LTU</v>
      </c>
      <c r="G176" t="s">
        <v>578</v>
      </c>
      <c r="H176" t="s">
        <v>853</v>
      </c>
      <c r="I176" t="s">
        <v>854</v>
      </c>
      <c r="K176" t="s">
        <v>855</v>
      </c>
      <c r="L176" t="s">
        <v>856</v>
      </c>
      <c r="M176" t="str">
        <f t="shared" si="6"/>
        <v>Slovakia</v>
      </c>
      <c r="N176" t="str">
        <f t="shared" si="7"/>
        <v> Statistical Office of the Slovak Republic</v>
      </c>
      <c r="O176" t="str">
        <f t="shared" si="8"/>
        <v>http://www.statistics.sk/</v>
      </c>
    </row>
    <row r="177" spans="1:15">
      <c r="A177" t="s">
        <v>857</v>
      </c>
      <c r="B177" t="s">
        <v>858</v>
      </c>
      <c r="C177" t="s">
        <v>859</v>
      </c>
      <c r="D177" t="s">
        <v>582</v>
      </c>
      <c r="E177" t="str">
        <f>VLOOKUP(D177,$K$3:$L$220,1,FALSE)</f>
        <v>Luxembourg</v>
      </c>
      <c r="F177" t="str">
        <f>VLOOKUP(D177,$K$3:$L$220,2,FALSE)</f>
        <v>LUX</v>
      </c>
      <c r="G177" t="s">
        <v>582</v>
      </c>
      <c r="H177" t="s">
        <v>858</v>
      </c>
      <c r="I177" t="s">
        <v>859</v>
      </c>
      <c r="K177" t="s">
        <v>860</v>
      </c>
      <c r="L177" t="s">
        <v>861</v>
      </c>
      <c r="M177" t="str">
        <f t="shared" si="6"/>
        <v>Slovenia</v>
      </c>
      <c r="N177" t="str">
        <f t="shared" si="7"/>
        <v> Statistical Office of the Republic of Slovenia</v>
      </c>
      <c r="O177" t="str">
        <f t="shared" si="8"/>
        <v>http://www.stat.si/</v>
      </c>
    </row>
    <row r="178" spans="1:15">
      <c r="A178" t="s">
        <v>862</v>
      </c>
      <c r="B178" t="s">
        <v>863</v>
      </c>
      <c r="C178" t="s">
        <v>864</v>
      </c>
      <c r="D178" t="s">
        <v>613</v>
      </c>
      <c r="E178" t="str">
        <f>VLOOKUP(D178,$K$3:$L$220,1,FALSE)</f>
        <v>Malta</v>
      </c>
      <c r="F178" t="str">
        <f>VLOOKUP(D178,$K$3:$L$220,2,FALSE)</f>
        <v>MLT</v>
      </c>
      <c r="G178" t="s">
        <v>613</v>
      </c>
      <c r="H178" t="s">
        <v>863</v>
      </c>
      <c r="I178" t="s">
        <v>864</v>
      </c>
      <c r="K178" t="s">
        <v>865</v>
      </c>
      <c r="L178" t="s">
        <v>866</v>
      </c>
      <c r="M178" t="str">
        <f t="shared" si="6"/>
        <v>Solomon Islands</v>
      </c>
      <c r="N178" t="str">
        <f t="shared" si="7"/>
        <v> Solomon Islands National Statistics Office</v>
      </c>
      <c r="O178" t="str">
        <f t="shared" si="8"/>
        <v>http://www.spc.int/prism/country/sb/stats/</v>
      </c>
    </row>
    <row r="179" spans="1:15">
      <c r="A179" t="s">
        <v>867</v>
      </c>
      <c r="B179" t="s">
        <v>140</v>
      </c>
      <c r="C179" t="s">
        <v>868</v>
      </c>
      <c r="D179" t="s">
        <v>643</v>
      </c>
      <c r="E179" t="str">
        <f>VLOOKUP(D179,$K$3:$L$220,1,FALSE)</f>
        <v>Moldova</v>
      </c>
      <c r="F179" t="str">
        <f>VLOOKUP(D179,$K$3:$L$220,2,FALSE)</f>
        <v>MDA</v>
      </c>
      <c r="G179" t="s">
        <v>643</v>
      </c>
      <c r="H179" t="s">
        <v>140</v>
      </c>
      <c r="I179" t="s">
        <v>868</v>
      </c>
      <c r="K179" s="4" t="s">
        <v>869</v>
      </c>
      <c r="L179" s="4" t="s">
        <v>870</v>
      </c>
      <c r="M179" s="4" t="e">
        <f t="shared" si="6"/>
        <v>#N/A</v>
      </c>
      <c r="N179" s="4" t="e">
        <f t="shared" si="7"/>
        <v>#N/A</v>
      </c>
      <c r="O179" s="4" t="e">
        <f t="shared" si="8"/>
        <v>#N/A</v>
      </c>
    </row>
    <row r="180" spans="1:15">
      <c r="A180" t="s">
        <v>871</v>
      </c>
      <c r="B180" t="s">
        <v>872</v>
      </c>
      <c r="C180" t="s">
        <v>873</v>
      </c>
      <c r="D180" t="s">
        <v>648</v>
      </c>
      <c r="E180" t="str">
        <f>VLOOKUP(D180,$K$3:$L$220,1,FALSE)</f>
        <v>Monaco</v>
      </c>
      <c r="F180" t="str">
        <f>VLOOKUP(D180,$K$3:$L$220,2,FALSE)</f>
        <v>MCO</v>
      </c>
      <c r="G180" t="s">
        <v>648</v>
      </c>
      <c r="H180" t="s">
        <v>872</v>
      </c>
      <c r="I180" t="s">
        <v>873</v>
      </c>
      <c r="K180" t="s">
        <v>244</v>
      </c>
      <c r="L180" t="s">
        <v>874</v>
      </c>
      <c r="M180" t="str">
        <f t="shared" si="6"/>
        <v>South Africa</v>
      </c>
      <c r="N180" t="str">
        <f t="shared" si="7"/>
        <v> Statistics South Africa</v>
      </c>
      <c r="O180" t="str">
        <f t="shared" si="8"/>
        <v>http://www.statssa.gov.za/</v>
      </c>
    </row>
    <row r="181" spans="1:15">
      <c r="A181" t="s">
        <v>875</v>
      </c>
      <c r="B181" t="s">
        <v>876</v>
      </c>
      <c r="C181" t="s">
        <v>877</v>
      </c>
      <c r="D181" t="s">
        <v>657</v>
      </c>
      <c r="E181" t="str">
        <f>VLOOKUP(D181,$K$3:$L$220,1,FALSE)</f>
        <v>Montenegro</v>
      </c>
      <c r="F181" t="str">
        <f>VLOOKUP(D181,$K$3:$L$220,2,FALSE)</f>
        <v>MNE</v>
      </c>
      <c r="G181" t="s">
        <v>657</v>
      </c>
      <c r="H181" t="s">
        <v>876</v>
      </c>
      <c r="I181" t="s">
        <v>877</v>
      </c>
      <c r="K181" t="s">
        <v>249</v>
      </c>
      <c r="L181" t="s">
        <v>878</v>
      </c>
      <c r="M181" t="str">
        <f t="shared" si="6"/>
        <v>South Sudan</v>
      </c>
      <c r="N181" t="str">
        <f t="shared" si="7"/>
        <v> National Bureau of Statistics</v>
      </c>
      <c r="O181" t="str">
        <f t="shared" si="8"/>
        <v>http://ssnbs.org/</v>
      </c>
    </row>
    <row r="182" spans="1:15">
      <c r="A182" t="s">
        <v>695</v>
      </c>
      <c r="B182" t="s">
        <v>879</v>
      </c>
      <c r="C182" t="s">
        <v>880</v>
      </c>
      <c r="D182" t="s">
        <v>695</v>
      </c>
      <c r="E182" t="str">
        <f>VLOOKUP(D182,$K$3:$L$220,1,FALSE)</f>
        <v>Netherlands</v>
      </c>
      <c r="F182" t="str">
        <f>VLOOKUP(D182,$K$3:$L$220,2,FALSE)</f>
        <v>NLD</v>
      </c>
      <c r="G182" t="s">
        <v>695</v>
      </c>
      <c r="H182" t="s">
        <v>879</v>
      </c>
      <c r="I182" t="s">
        <v>880</v>
      </c>
      <c r="K182" t="s">
        <v>881</v>
      </c>
      <c r="L182" t="s">
        <v>882</v>
      </c>
      <c r="M182" t="str">
        <f t="shared" si="6"/>
        <v>Spain</v>
      </c>
      <c r="N182" t="str">
        <f t="shared" si="7"/>
        <v> Instituto Nacional de Estadística</v>
      </c>
      <c r="O182" t="str">
        <f t="shared" si="8"/>
        <v>http://www.ine.es/</v>
      </c>
    </row>
    <row r="183" spans="1:15">
      <c r="A183" t="s">
        <v>695</v>
      </c>
      <c r="B183" t="s">
        <v>883</v>
      </c>
      <c r="C183" t="s">
        <v>884</v>
      </c>
      <c r="D183" t="s">
        <v>695</v>
      </c>
      <c r="E183" t="str">
        <f>VLOOKUP(D183,$K$3:$L$220,1,FALSE)</f>
        <v>Netherlands</v>
      </c>
      <c r="F183" t="str">
        <f>VLOOKUP(D183,$K$3:$L$220,2,FALSE)</f>
        <v>NLD</v>
      </c>
      <c r="G183" t="s">
        <v>695</v>
      </c>
      <c r="H183" t="s">
        <v>883</v>
      </c>
      <c r="I183" t="s">
        <v>884</v>
      </c>
      <c r="K183" t="s">
        <v>677</v>
      </c>
      <c r="L183" t="s">
        <v>885</v>
      </c>
      <c r="M183" t="str">
        <f t="shared" si="6"/>
        <v>Sri Lanka</v>
      </c>
      <c r="N183" t="str">
        <f t="shared" si="7"/>
        <v> Department of Census and Statistics</v>
      </c>
      <c r="O183" t="str">
        <f t="shared" si="8"/>
        <v>http://www.statistics.gov.lk/</v>
      </c>
    </row>
    <row r="184" spans="1:15">
      <c r="A184" t="s">
        <v>886</v>
      </c>
      <c r="B184" t="s">
        <v>887</v>
      </c>
      <c r="C184" t="s">
        <v>888</v>
      </c>
      <c r="D184" t="s">
        <v>733</v>
      </c>
      <c r="E184" t="str">
        <f>VLOOKUP(D184,$K$3:$L$220,1,FALSE)</f>
        <v>North Macedonia</v>
      </c>
      <c r="F184" t="str">
        <f>VLOOKUP(D184,$K$3:$L$220,2,FALSE)</f>
        <v>MKD</v>
      </c>
      <c r="G184" t="s">
        <v>733</v>
      </c>
      <c r="H184" t="s">
        <v>887</v>
      </c>
      <c r="I184" t="s">
        <v>888</v>
      </c>
      <c r="K184" s="4" t="s">
        <v>889</v>
      </c>
      <c r="L184" s="4" t="s">
        <v>890</v>
      </c>
      <c r="M184" s="4" t="e">
        <f t="shared" si="6"/>
        <v>#N/A</v>
      </c>
      <c r="N184" s="4" t="e">
        <f t="shared" si="7"/>
        <v>#N/A</v>
      </c>
      <c r="O184" s="4" t="e">
        <f t="shared" si="8"/>
        <v>#N/A</v>
      </c>
    </row>
    <row r="185" spans="1:15">
      <c r="A185" t="s">
        <v>891</v>
      </c>
      <c r="B185" t="s">
        <v>892</v>
      </c>
      <c r="C185" t="s">
        <v>893</v>
      </c>
      <c r="D185" t="s">
        <v>743</v>
      </c>
      <c r="E185" t="str">
        <f>VLOOKUP(D185,$K$3:$L$220,1,FALSE)</f>
        <v>Norway</v>
      </c>
      <c r="F185" t="str">
        <f>VLOOKUP(D185,$K$3:$L$220,2,FALSE)</f>
        <v>NOR</v>
      </c>
      <c r="G185" t="s">
        <v>743</v>
      </c>
      <c r="H185" t="s">
        <v>892</v>
      </c>
      <c r="I185" t="s">
        <v>893</v>
      </c>
      <c r="K185" t="s">
        <v>419</v>
      </c>
      <c r="L185" t="s">
        <v>420</v>
      </c>
      <c r="M185" t="str">
        <f t="shared" si="6"/>
        <v>Saint Lucia</v>
      </c>
      <c r="N185" t="str">
        <f t="shared" si="7"/>
        <v> Saint Lucian Government Statistics Department</v>
      </c>
      <c r="O185" t="str">
        <f t="shared" si="8"/>
        <v>http://www.stats.gov.lc/</v>
      </c>
    </row>
    <row r="186" spans="1:15">
      <c r="A186" t="s">
        <v>894</v>
      </c>
      <c r="B186" t="s">
        <v>895</v>
      </c>
      <c r="C186" t="s">
        <v>896</v>
      </c>
      <c r="D186" t="s">
        <v>780</v>
      </c>
      <c r="E186" t="str">
        <f>VLOOKUP(D186,$K$3:$L$220,1,FALSE)</f>
        <v>Poland</v>
      </c>
      <c r="F186" t="str">
        <f>VLOOKUP(D186,$K$3:$L$220,2,FALSE)</f>
        <v>POL</v>
      </c>
      <c r="G186" t="s">
        <v>780</v>
      </c>
      <c r="H186" t="s">
        <v>895</v>
      </c>
      <c r="I186" t="s">
        <v>896</v>
      </c>
      <c r="K186" t="s">
        <v>424</v>
      </c>
      <c r="L186" t="s">
        <v>425</v>
      </c>
      <c r="M186" t="str">
        <f t="shared" si="6"/>
        <v>Saint Martin</v>
      </c>
      <c r="N186" t="str">
        <f t="shared" si="7"/>
        <v> Department of Statistics</v>
      </c>
      <c r="O186" t="str">
        <f t="shared" si="8"/>
        <v>http://www.sintmaartengov.org/Government/Ministry of Tourism Economic Affairs Transport and Telecommunication/stat/Pages/Statistics.aspx</v>
      </c>
    </row>
    <row r="187" spans="1:15">
      <c r="A187" t="s">
        <v>897</v>
      </c>
      <c r="B187" t="s">
        <v>898</v>
      </c>
      <c r="C187" t="s">
        <v>899</v>
      </c>
      <c r="D187" t="s">
        <v>786</v>
      </c>
      <c r="E187" t="str">
        <f>VLOOKUP(D187,$K$3:$L$220,1,FALSE)</f>
        <v>Portugal</v>
      </c>
      <c r="F187" t="str">
        <f>VLOOKUP(D187,$K$3:$L$220,2,FALSE)</f>
        <v>PRT</v>
      </c>
      <c r="G187" t="s">
        <v>786</v>
      </c>
      <c r="H187" t="s">
        <v>898</v>
      </c>
      <c r="I187" t="s">
        <v>899</v>
      </c>
      <c r="K187" s="4" t="s">
        <v>900</v>
      </c>
      <c r="L187" s="4" t="s">
        <v>901</v>
      </c>
      <c r="M187" s="4" t="e">
        <f t="shared" si="6"/>
        <v>#N/A</v>
      </c>
      <c r="N187" s="4" t="e">
        <f t="shared" si="7"/>
        <v>#N/A</v>
      </c>
      <c r="O187" s="4" t="e">
        <f t="shared" si="8"/>
        <v>#N/A</v>
      </c>
    </row>
    <row r="188" spans="1:15">
      <c r="A188" t="s">
        <v>902</v>
      </c>
      <c r="B188" t="s">
        <v>521</v>
      </c>
      <c r="C188" t="s">
        <v>903</v>
      </c>
      <c r="D188" t="s">
        <v>800</v>
      </c>
      <c r="E188" t="str">
        <f>VLOOKUP(D188,$K$3:$L$220,1,FALSE)</f>
        <v>Romania</v>
      </c>
      <c r="F188" t="str">
        <f>VLOOKUP(D188,$K$3:$L$220,2,FALSE)</f>
        <v>ROU</v>
      </c>
      <c r="G188" t="s">
        <v>800</v>
      </c>
      <c r="H188" t="s">
        <v>521</v>
      </c>
      <c r="I188" t="s">
        <v>903</v>
      </c>
      <c r="K188" t="s">
        <v>260</v>
      </c>
      <c r="L188" t="s">
        <v>904</v>
      </c>
      <c r="M188" t="str">
        <f t="shared" si="6"/>
        <v>Sudan</v>
      </c>
      <c r="N188" t="str">
        <f t="shared" si="7"/>
        <v> Central Bureau of Statistics</v>
      </c>
      <c r="O188" t="str">
        <f t="shared" si="8"/>
        <v>http://www.cbs.gov.sd/</v>
      </c>
    </row>
    <row r="189" spans="1:15">
      <c r="A189" t="s">
        <v>905</v>
      </c>
      <c r="B189" t="s">
        <v>906</v>
      </c>
      <c r="C189" t="s">
        <v>907</v>
      </c>
      <c r="D189" t="s">
        <v>805</v>
      </c>
      <c r="E189" t="str">
        <f>VLOOKUP(D189,$K$3:$L$220,1,FALSE)</f>
        <v>Russian Federation</v>
      </c>
      <c r="F189" t="str">
        <f>VLOOKUP(D189,$K$3:$L$220,2,FALSE)</f>
        <v>RUS</v>
      </c>
      <c r="G189" t="s">
        <v>805</v>
      </c>
      <c r="H189" t="s">
        <v>906</v>
      </c>
      <c r="I189" t="s">
        <v>907</v>
      </c>
      <c r="K189" t="s">
        <v>427</v>
      </c>
      <c r="L189" t="s">
        <v>908</v>
      </c>
      <c r="M189" t="str">
        <f t="shared" si="6"/>
        <v>Suriname</v>
      </c>
      <c r="N189" t="str">
        <f t="shared" si="7"/>
        <v> General Bureau of Statistics</v>
      </c>
      <c r="O189" t="str">
        <f t="shared" si="8"/>
        <v>http://www.statistics-suriname.org/</v>
      </c>
    </row>
    <row r="190" spans="1:15">
      <c r="A190" t="s">
        <v>909</v>
      </c>
      <c r="B190" t="s">
        <v>910</v>
      </c>
      <c r="C190" t="s">
        <v>911</v>
      </c>
      <c r="D190" t="s">
        <v>818</v>
      </c>
      <c r="E190" t="str">
        <f>VLOOKUP(D190,$K$3:$L$220,1,FALSE)</f>
        <v>San Marino</v>
      </c>
      <c r="F190" t="str">
        <f>VLOOKUP(D190,$K$3:$L$220,2,FALSE)</f>
        <v>SMR</v>
      </c>
      <c r="G190" t="s">
        <v>818</v>
      </c>
      <c r="H190" t="s">
        <v>910</v>
      </c>
      <c r="I190" t="s">
        <v>911</v>
      </c>
      <c r="K190" t="s">
        <v>912</v>
      </c>
      <c r="L190" t="s">
        <v>913</v>
      </c>
      <c r="M190" t="str">
        <f t="shared" si="6"/>
        <v>Sweden</v>
      </c>
      <c r="N190" t="str">
        <f t="shared" si="7"/>
        <v> Statistics Sweden</v>
      </c>
      <c r="O190" t="str">
        <f t="shared" si="8"/>
        <v>http://www.scb.se/</v>
      </c>
    </row>
    <row r="191" spans="1:15">
      <c r="A191" t="s">
        <v>914</v>
      </c>
      <c r="B191" t="s">
        <v>915</v>
      </c>
      <c r="C191" t="s">
        <v>916</v>
      </c>
      <c r="D191" t="s">
        <v>834</v>
      </c>
      <c r="E191" t="str">
        <f>VLOOKUP(D191,$K$3:$L$220,1,FALSE)</f>
        <v>Serbia</v>
      </c>
      <c r="F191" t="str">
        <f>VLOOKUP(D191,$K$3:$L$220,2,FALSE)</f>
        <v>SRB</v>
      </c>
      <c r="G191" t="s">
        <v>834</v>
      </c>
      <c r="H191" t="s">
        <v>915</v>
      </c>
      <c r="I191" t="s">
        <v>916</v>
      </c>
      <c r="K191" t="s">
        <v>917</v>
      </c>
      <c r="L191" t="s">
        <v>918</v>
      </c>
      <c r="M191" t="str">
        <f t="shared" si="6"/>
        <v>Switzerland</v>
      </c>
      <c r="N191" t="str">
        <f t="shared" si="7"/>
        <v> Swiss Federal Statistical Office</v>
      </c>
      <c r="O191" t="str">
        <f t="shared" si="8"/>
        <v>http://www.bfs.admin.ch/</v>
      </c>
    </row>
    <row r="192" spans="1:15">
      <c r="A192" t="s">
        <v>919</v>
      </c>
      <c r="B192" t="s">
        <v>920</v>
      </c>
      <c r="C192" t="s">
        <v>921</v>
      </c>
      <c r="D192" t="s">
        <v>922</v>
      </c>
      <c r="E192" s="3" t="s">
        <v>855</v>
      </c>
      <c r="F192" s="3" t="s">
        <v>856</v>
      </c>
      <c r="G192" t="s">
        <v>922</v>
      </c>
      <c r="H192" t="s">
        <v>920</v>
      </c>
      <c r="I192" t="s">
        <v>921</v>
      </c>
      <c r="K192" t="s">
        <v>688</v>
      </c>
      <c r="L192" t="s">
        <v>689</v>
      </c>
      <c r="M192" t="str">
        <f t="shared" si="6"/>
        <v>Syrian Arab Repblic</v>
      </c>
      <c r="N192" t="str">
        <f t="shared" si="7"/>
        <v> Central Bureau of Statistics</v>
      </c>
      <c r="O192" t="str">
        <f t="shared" si="8"/>
        <v>http://www.cbssyr.org/</v>
      </c>
    </row>
    <row r="193" spans="1:15">
      <c r="A193" t="s">
        <v>923</v>
      </c>
      <c r="B193" t="s">
        <v>924</v>
      </c>
      <c r="C193" t="s">
        <v>925</v>
      </c>
      <c r="D193" t="s">
        <v>860</v>
      </c>
      <c r="E193" t="str">
        <f>VLOOKUP(D193,$K$3:$L$220,1,FALSE)</f>
        <v>Slovenia</v>
      </c>
      <c r="F193" t="str">
        <f>VLOOKUP(D193,$K$3:$L$220,2,FALSE)</f>
        <v>SVN</v>
      </c>
      <c r="G193" t="s">
        <v>860</v>
      </c>
      <c r="H193" t="s">
        <v>924</v>
      </c>
      <c r="I193" t="s">
        <v>925</v>
      </c>
      <c r="K193" s="4" t="s">
        <v>926</v>
      </c>
      <c r="L193" s="4" t="s">
        <v>927</v>
      </c>
      <c r="M193" s="4" t="e">
        <f t="shared" si="6"/>
        <v>#N/A</v>
      </c>
      <c r="N193" s="4" t="e">
        <f t="shared" si="7"/>
        <v>#N/A</v>
      </c>
      <c r="O193" s="4" t="e">
        <f t="shared" si="8"/>
        <v>#N/A</v>
      </c>
    </row>
    <row r="194" spans="1:15">
      <c r="A194" t="s">
        <v>928</v>
      </c>
      <c r="B194" t="s">
        <v>330</v>
      </c>
      <c r="C194" t="s">
        <v>929</v>
      </c>
      <c r="D194" t="s">
        <v>881</v>
      </c>
      <c r="E194" t="str">
        <f>VLOOKUP(D194,$K$3:$L$220,1,FALSE)</f>
        <v>Spain</v>
      </c>
      <c r="F194" t="str">
        <f>VLOOKUP(D194,$K$3:$L$220,2,FALSE)</f>
        <v>ESP</v>
      </c>
      <c r="G194" t="s">
        <v>881</v>
      </c>
      <c r="H194" t="s">
        <v>330</v>
      </c>
      <c r="I194" t="s">
        <v>929</v>
      </c>
      <c r="K194" t="s">
        <v>694</v>
      </c>
      <c r="L194" t="s">
        <v>930</v>
      </c>
      <c r="M194" t="str">
        <f t="shared" si="6"/>
        <v>Tajikistan</v>
      </c>
      <c r="N194" t="str">
        <f t="shared" si="7"/>
        <v> State Statistical Committee of Tajikistan</v>
      </c>
      <c r="O194" t="str">
        <f t="shared" si="8"/>
        <v>http://www.stat.tj/</v>
      </c>
    </row>
    <row r="195" spans="1:15">
      <c r="A195" t="s">
        <v>931</v>
      </c>
      <c r="B195" t="s">
        <v>932</v>
      </c>
      <c r="C195" t="s">
        <v>933</v>
      </c>
      <c r="D195" t="s">
        <v>912</v>
      </c>
      <c r="E195" t="str">
        <f>VLOOKUP(D195,$K$3:$L$220,1,FALSE)</f>
        <v>Sweden</v>
      </c>
      <c r="F195" t="str">
        <f>VLOOKUP(D195,$K$3:$L$220,2,FALSE)</f>
        <v>SWE</v>
      </c>
      <c r="G195" t="s">
        <v>912</v>
      </c>
      <c r="H195" t="s">
        <v>932</v>
      </c>
      <c r="I195" t="s">
        <v>933</v>
      </c>
      <c r="K195" t="s">
        <v>287</v>
      </c>
      <c r="L195" t="s">
        <v>288</v>
      </c>
      <c r="M195" t="str">
        <f t="shared" si="6"/>
        <v>United Republic of Tanzania</v>
      </c>
      <c r="N195" t="str">
        <f t="shared" si="7"/>
        <v> National Bureau of Statistics</v>
      </c>
      <c r="O195" t="str">
        <f t="shared" si="8"/>
        <v>http://www.nbs.go.tz/</v>
      </c>
    </row>
    <row r="196" spans="1:15">
      <c r="A196" t="s">
        <v>934</v>
      </c>
      <c r="B196" t="s">
        <v>935</v>
      </c>
      <c r="C196" t="s">
        <v>936</v>
      </c>
      <c r="D196" t="s">
        <v>917</v>
      </c>
      <c r="E196" t="str">
        <f>VLOOKUP(D196,$K$3:$L$220,1,FALSE)</f>
        <v>Switzerland</v>
      </c>
      <c r="F196" t="str">
        <f>VLOOKUP(D196,$K$3:$L$220,2,FALSE)</f>
        <v>CHE</v>
      </c>
      <c r="G196" t="s">
        <v>917</v>
      </c>
      <c r="H196" t="s">
        <v>935</v>
      </c>
      <c r="I196" t="s">
        <v>936</v>
      </c>
      <c r="K196" t="s">
        <v>699</v>
      </c>
      <c r="L196" t="s">
        <v>937</v>
      </c>
      <c r="M196" t="str">
        <f t="shared" ref="M196:M220" si="9">VLOOKUP(L196,$F$3:$I$219,2,FALSE)</f>
        <v>Thailand</v>
      </c>
      <c r="N196" t="str">
        <f t="shared" ref="N196:N220" si="10">VLOOKUP(L196,$F$3:$I$219,3,FALSE)</f>
        <v> National Statistical Office</v>
      </c>
      <c r="O196" t="str">
        <f t="shared" ref="O196:O220" si="11">VLOOKUP(L196,$F$3:$I$219,4,FALSE)</f>
        <v>http://www.nso.go.th/</v>
      </c>
    </row>
    <row r="197" spans="1:15">
      <c r="A197" t="s">
        <v>938</v>
      </c>
      <c r="B197" t="s">
        <v>939</v>
      </c>
      <c r="C197" t="s">
        <v>940</v>
      </c>
      <c r="D197" t="s">
        <v>941</v>
      </c>
      <c r="E197" t="str">
        <f>VLOOKUP(D197,$K$3:$L$220,1,FALSE)</f>
        <v>Ukraine</v>
      </c>
      <c r="F197" t="str">
        <f>VLOOKUP(D197,$K$3:$L$220,2,FALSE)</f>
        <v>UKR</v>
      </c>
      <c r="G197" t="s">
        <v>941</v>
      </c>
      <c r="H197" t="s">
        <v>939</v>
      </c>
      <c r="I197" t="s">
        <v>940</v>
      </c>
      <c r="K197" t="s">
        <v>706</v>
      </c>
      <c r="L197" t="s">
        <v>707</v>
      </c>
      <c r="M197" t="str">
        <f t="shared" si="9"/>
        <v>Timor Leste</v>
      </c>
      <c r="N197" t="str">
        <f t="shared" si="10"/>
        <v> Direcçáo Nacional de Estatistica</v>
      </c>
      <c r="O197" t="str">
        <f t="shared" si="11"/>
        <v>http://dne.mof.gov.tl/index.htm</v>
      </c>
    </row>
    <row r="198" spans="1:15">
      <c r="A198" t="s">
        <v>942</v>
      </c>
      <c r="B198" t="s">
        <v>943</v>
      </c>
      <c r="C198" t="s">
        <v>944</v>
      </c>
      <c r="D198" t="s">
        <v>945</v>
      </c>
      <c r="E198" t="str">
        <f>VLOOKUP(D198,$K$3:$L$220,1,FALSE)</f>
        <v>United Kingdom</v>
      </c>
      <c r="F198" t="str">
        <f>VLOOKUP(D198,$K$3:$L$220,2,FALSE)</f>
        <v>GBR</v>
      </c>
      <c r="G198" t="s">
        <v>945</v>
      </c>
      <c r="H198" t="s">
        <v>943</v>
      </c>
      <c r="I198" t="s">
        <v>944</v>
      </c>
      <c r="K198" t="s">
        <v>273</v>
      </c>
      <c r="L198" t="s">
        <v>946</v>
      </c>
      <c r="M198" t="str">
        <f t="shared" si="9"/>
        <v>Togo</v>
      </c>
      <c r="N198" t="str">
        <f t="shared" si="10"/>
        <v> Direction Generale de la Statistique et de la Comptabilite Nationale</v>
      </c>
      <c r="O198" t="str">
        <f t="shared" si="11"/>
        <v>http://www.stat-togo.org/</v>
      </c>
    </row>
    <row r="199" spans="1:15">
      <c r="A199" t="s">
        <v>942</v>
      </c>
      <c r="B199" t="s">
        <v>947</v>
      </c>
      <c r="C199" t="s">
        <v>948</v>
      </c>
      <c r="D199" t="s">
        <v>945</v>
      </c>
      <c r="E199" t="str">
        <f>VLOOKUP(D199,$K$3:$L$220,1,FALSE)</f>
        <v>United Kingdom</v>
      </c>
      <c r="F199" t="str">
        <f>VLOOKUP(D199,$K$3:$L$220,2,FALSE)</f>
        <v>GBR</v>
      </c>
      <c r="G199" t="s">
        <v>945</v>
      </c>
      <c r="H199" t="s">
        <v>947</v>
      </c>
      <c r="I199" t="s">
        <v>948</v>
      </c>
      <c r="K199" t="s">
        <v>949</v>
      </c>
      <c r="L199" t="s">
        <v>950</v>
      </c>
      <c r="M199" t="str">
        <f t="shared" si="9"/>
        <v>Tonga</v>
      </c>
      <c r="N199" t="str">
        <f t="shared" si="10"/>
        <v> Tonga Department of Statistics</v>
      </c>
      <c r="O199" t="str">
        <f t="shared" si="11"/>
        <v>http://www.spc.int/prism/Country/TO/stats/</v>
      </c>
    </row>
    <row r="200" spans="1:15">
      <c r="A200" t="s">
        <v>951</v>
      </c>
      <c r="B200" t="s">
        <v>952</v>
      </c>
      <c r="C200" t="s">
        <v>953</v>
      </c>
      <c r="D200" t="s">
        <v>73</v>
      </c>
      <c r="E200" t="str">
        <f>VLOOKUP(D200,$K$3:$L$220,1,FALSE)</f>
        <v>Australia</v>
      </c>
      <c r="F200" t="str">
        <f>VLOOKUP(D200,$K$3:$L$220,2,FALSE)</f>
        <v>AUS</v>
      </c>
      <c r="G200" t="s">
        <v>73</v>
      </c>
      <c r="H200" t="s">
        <v>952</v>
      </c>
      <c r="I200" t="s">
        <v>953</v>
      </c>
      <c r="K200" t="s">
        <v>431</v>
      </c>
      <c r="L200" t="s">
        <v>954</v>
      </c>
      <c r="M200" t="str">
        <f t="shared" si="9"/>
        <v>Trinidad and Tobago</v>
      </c>
      <c r="N200" t="str">
        <f t="shared" si="10"/>
        <v> Central Statistical Office</v>
      </c>
      <c r="O200" t="str">
        <f t="shared" si="11"/>
        <v>http://www.cso.gov.tt/</v>
      </c>
    </row>
    <row r="201" spans="1:15">
      <c r="A201" t="s">
        <v>955</v>
      </c>
      <c r="B201" t="s">
        <v>956</v>
      </c>
      <c r="C201" t="s">
        <v>957</v>
      </c>
      <c r="D201" t="s">
        <v>958</v>
      </c>
      <c r="E201" s="4" t="e">
        <f>VLOOKUP(D201,$K$3:$L$220,1,FALSE)</f>
        <v>#N/A</v>
      </c>
      <c r="F201" s="4" t="e">
        <f>VLOOKUP(D201,$K$3:$L$220,2,FALSE)</f>
        <v>#N/A</v>
      </c>
      <c r="G201" t="s">
        <v>958</v>
      </c>
      <c r="H201" t="s">
        <v>956</v>
      </c>
      <c r="I201" t="s">
        <v>957</v>
      </c>
      <c r="K201" t="s">
        <v>277</v>
      </c>
      <c r="L201" t="s">
        <v>959</v>
      </c>
      <c r="M201" t="str">
        <f t="shared" si="9"/>
        <v>Tunisia</v>
      </c>
      <c r="N201" t="str">
        <f t="shared" si="10"/>
        <v> Institut national de la statistique</v>
      </c>
      <c r="O201" t="str">
        <f t="shared" si="11"/>
        <v>http://www.ins.nat.tn/</v>
      </c>
    </row>
    <row r="202" spans="1:15">
      <c r="A202" t="s">
        <v>960</v>
      </c>
      <c r="B202" t="s">
        <v>961</v>
      </c>
      <c r="C202" t="s">
        <v>962</v>
      </c>
      <c r="D202" t="s">
        <v>357</v>
      </c>
      <c r="E202" t="str">
        <f>VLOOKUP(D202,$K$3:$L$220,1,FALSE)</f>
        <v>Fiji</v>
      </c>
      <c r="F202" t="str">
        <f>VLOOKUP(D202,$K$3:$L$220,2,FALSE)</f>
        <v>FJI</v>
      </c>
      <c r="G202" t="s">
        <v>357</v>
      </c>
      <c r="H202" t="s">
        <v>961</v>
      </c>
      <c r="I202" t="s">
        <v>962</v>
      </c>
      <c r="K202" t="s">
        <v>714</v>
      </c>
      <c r="L202" t="s">
        <v>715</v>
      </c>
      <c r="M202" t="str">
        <f t="shared" si="9"/>
        <v>Turkey</v>
      </c>
      <c r="N202" t="str">
        <f t="shared" si="10"/>
        <v> Turkish Statistical Institute</v>
      </c>
      <c r="O202" t="str">
        <f t="shared" si="11"/>
        <v>http://www.turkstat.gov.tr/</v>
      </c>
    </row>
    <row r="203" spans="1:15">
      <c r="A203" t="s">
        <v>963</v>
      </c>
      <c r="B203" t="s">
        <v>964</v>
      </c>
      <c r="C203" t="s">
        <v>965</v>
      </c>
      <c r="D203" t="s">
        <v>414</v>
      </c>
      <c r="E203" t="str">
        <f>VLOOKUP(D203,$K$3:$L$220,1,FALSE)</f>
        <v>Guam</v>
      </c>
      <c r="F203" t="str">
        <f>VLOOKUP(D203,$K$3:$L$220,2,FALSE)</f>
        <v>GUM</v>
      </c>
      <c r="G203" t="s">
        <v>414</v>
      </c>
      <c r="H203" t="s">
        <v>964</v>
      </c>
      <c r="I203" t="s">
        <v>965</v>
      </c>
      <c r="K203" s="4" t="s">
        <v>966</v>
      </c>
      <c r="L203" s="4" t="s">
        <v>967</v>
      </c>
      <c r="M203" s="4" t="e">
        <f t="shared" si="9"/>
        <v>#N/A</v>
      </c>
      <c r="N203" s="4" t="e">
        <f t="shared" si="10"/>
        <v>#N/A</v>
      </c>
      <c r="O203" s="4" t="e">
        <f t="shared" si="11"/>
        <v>#N/A</v>
      </c>
    </row>
    <row r="204" spans="1:15">
      <c r="A204" t="s">
        <v>968</v>
      </c>
      <c r="B204" t="s">
        <v>863</v>
      </c>
      <c r="C204" t="s">
        <v>969</v>
      </c>
      <c r="D204" t="s">
        <v>513</v>
      </c>
      <c r="E204" t="str">
        <f>VLOOKUP(D204,$K$3:$L$220,1,FALSE)</f>
        <v>Kiribati</v>
      </c>
      <c r="F204" t="str">
        <f>VLOOKUP(D204,$K$3:$L$220,2,FALSE)</f>
        <v>KIR</v>
      </c>
      <c r="G204" t="s">
        <v>513</v>
      </c>
      <c r="H204" t="s">
        <v>863</v>
      </c>
      <c r="I204" t="s">
        <v>969</v>
      </c>
      <c r="K204" t="s">
        <v>437</v>
      </c>
      <c r="L204" t="s">
        <v>970</v>
      </c>
      <c r="M204" t="str">
        <f t="shared" si="9"/>
        <v>Turks and Caicos Islands</v>
      </c>
      <c r="N204" t="str">
        <f t="shared" si="10"/>
        <v> Department of Economic Planning and Statistics</v>
      </c>
      <c r="O204" t="str">
        <f t="shared" si="11"/>
        <v>http://www.depstc.org/</v>
      </c>
    </row>
    <row r="205" spans="1:15">
      <c r="A205" t="s">
        <v>971</v>
      </c>
      <c r="B205" t="s">
        <v>972</v>
      </c>
      <c r="C205" t="s">
        <v>973</v>
      </c>
      <c r="D205" t="s">
        <v>974</v>
      </c>
      <c r="E205" s="3" t="s">
        <v>637</v>
      </c>
      <c r="F205" s="3" t="s">
        <v>638</v>
      </c>
      <c r="G205" t="s">
        <v>974</v>
      </c>
      <c r="H205" t="s">
        <v>972</v>
      </c>
      <c r="I205" t="s">
        <v>973</v>
      </c>
      <c r="K205" t="s">
        <v>975</v>
      </c>
      <c r="L205" t="s">
        <v>976</v>
      </c>
      <c r="M205" t="str">
        <f t="shared" si="9"/>
        <v>Tuvalu</v>
      </c>
      <c r="N205" t="str">
        <f t="shared" si="10"/>
        <v> Central Statistics Department</v>
      </c>
      <c r="O205" t="str">
        <f t="shared" si="11"/>
        <v>http://www.spc.int/prism/country/tv/stats/</v>
      </c>
    </row>
    <row r="206" spans="1:15">
      <c r="A206" t="s">
        <v>618</v>
      </c>
      <c r="B206" t="s">
        <v>977</v>
      </c>
      <c r="C206" t="s">
        <v>978</v>
      </c>
      <c r="D206" t="s">
        <v>618</v>
      </c>
      <c r="E206" t="str">
        <f>VLOOKUP(D206,$K$3:$L$220,1,FALSE)</f>
        <v>Marshall Islands</v>
      </c>
      <c r="F206" t="str">
        <f>VLOOKUP(D206,$K$3:$L$220,2,FALSE)</f>
        <v>MHL</v>
      </c>
      <c r="G206" t="s">
        <v>618</v>
      </c>
      <c r="H206" t="s">
        <v>977</v>
      </c>
      <c r="I206" t="s">
        <v>978</v>
      </c>
      <c r="K206" t="s">
        <v>283</v>
      </c>
      <c r="L206" t="s">
        <v>979</v>
      </c>
      <c r="M206" t="str">
        <f t="shared" si="9"/>
        <v>Uganda</v>
      </c>
      <c r="N206" t="str">
        <f t="shared" si="10"/>
        <v> Uganda Bureau of Statistics</v>
      </c>
      <c r="O206" t="str">
        <f t="shared" si="11"/>
        <v>http://www.ubos.org/</v>
      </c>
    </row>
    <row r="207" spans="1:15">
      <c r="A207" t="s">
        <v>618</v>
      </c>
      <c r="B207" t="s">
        <v>980</v>
      </c>
      <c r="C207" t="s">
        <v>981</v>
      </c>
      <c r="D207" t="s">
        <v>618</v>
      </c>
      <c r="E207" t="str">
        <f>VLOOKUP(D207,$K$3:$L$220,1,FALSE)</f>
        <v>Marshall Islands</v>
      </c>
      <c r="F207" t="str">
        <f>VLOOKUP(D207,$K$3:$L$220,2,FALSE)</f>
        <v>MHL</v>
      </c>
      <c r="G207" t="s">
        <v>618</v>
      </c>
      <c r="H207" t="s">
        <v>980</v>
      </c>
      <c r="I207" t="s">
        <v>981</v>
      </c>
      <c r="K207" t="s">
        <v>941</v>
      </c>
      <c r="L207" t="s">
        <v>982</v>
      </c>
      <c r="M207" t="str">
        <f t="shared" si="9"/>
        <v>Ukraine</v>
      </c>
      <c r="N207" t="str">
        <f t="shared" si="10"/>
        <v> The State Committee of Statistics of Ukraine</v>
      </c>
      <c r="O207" t="str">
        <f t="shared" si="11"/>
        <v>http://www.ukrstat.gov.ua/</v>
      </c>
    </row>
    <row r="208" spans="1:15">
      <c r="A208" t="s">
        <v>983</v>
      </c>
      <c r="B208" t="s">
        <v>984</v>
      </c>
      <c r="C208" t="s">
        <v>985</v>
      </c>
      <c r="D208" t="s">
        <v>683</v>
      </c>
      <c r="E208" t="str">
        <f>VLOOKUP(D208,$K$3:$L$220,1,FALSE)</f>
        <v>Nauru</v>
      </c>
      <c r="F208" t="str">
        <f>VLOOKUP(D208,$K$3:$L$220,2,FALSE)</f>
        <v>NRU</v>
      </c>
      <c r="G208" t="s">
        <v>683</v>
      </c>
      <c r="H208" t="s">
        <v>984</v>
      </c>
      <c r="I208" t="s">
        <v>985</v>
      </c>
      <c r="K208" t="s">
        <v>720</v>
      </c>
      <c r="L208" t="s">
        <v>986</v>
      </c>
      <c r="M208" t="str">
        <f t="shared" si="9"/>
        <v>United Arab Emirates</v>
      </c>
      <c r="N208" t="str">
        <f t="shared" si="10"/>
        <v> Federal Competitiveness &amp; Statistics Authority</v>
      </c>
      <c r="O208" t="str">
        <f t="shared" si="11"/>
        <v>http://www.fcsa.gov.ae/</v>
      </c>
    </row>
    <row r="209" spans="1:15">
      <c r="A209" t="s">
        <v>987</v>
      </c>
      <c r="B209" t="s">
        <v>988</v>
      </c>
      <c r="C209" t="s">
        <v>989</v>
      </c>
      <c r="D209" t="s">
        <v>708</v>
      </c>
      <c r="E209" t="str">
        <f>VLOOKUP(D209,$K$3:$L$220,1,FALSE)</f>
        <v>New Zealand</v>
      </c>
      <c r="F209" t="str">
        <f>VLOOKUP(D209,$K$3:$L$220,2,FALSE)</f>
        <v>NZL</v>
      </c>
      <c r="G209" t="s">
        <v>708</v>
      </c>
      <c r="H209" t="s">
        <v>988</v>
      </c>
      <c r="I209" t="s">
        <v>989</v>
      </c>
      <c r="K209" t="s">
        <v>945</v>
      </c>
      <c r="L209" t="s">
        <v>990</v>
      </c>
      <c r="M209" t="str">
        <f t="shared" si="9"/>
        <v>United Kingdom</v>
      </c>
      <c r="N209" t="str">
        <f t="shared" si="10"/>
        <v> UK Statistics Authority</v>
      </c>
      <c r="O209" t="str">
        <f t="shared" si="11"/>
        <v>http://www.statistics.gov.uk/</v>
      </c>
    </row>
    <row r="210" spans="1:15">
      <c r="A210" t="s">
        <v>991</v>
      </c>
      <c r="B210" t="s">
        <v>992</v>
      </c>
      <c r="C210" t="s">
        <v>993</v>
      </c>
      <c r="D210" t="s">
        <v>994</v>
      </c>
      <c r="E210" s="4" t="e">
        <f>VLOOKUP(D210,$K$3:$L$220,1,FALSE)</f>
        <v>#N/A</v>
      </c>
      <c r="F210" s="4" t="e">
        <f>VLOOKUP(D210,$K$3:$L$220,2,FALSE)</f>
        <v>#N/A</v>
      </c>
      <c r="G210" t="s">
        <v>994</v>
      </c>
      <c r="H210" t="s">
        <v>992</v>
      </c>
      <c r="I210" t="s">
        <v>993</v>
      </c>
      <c r="K210" t="s">
        <v>442</v>
      </c>
      <c r="L210" t="s">
        <v>995</v>
      </c>
      <c r="M210" t="str">
        <f t="shared" si="9"/>
        <v>United States</v>
      </c>
      <c r="N210" t="str">
        <f t="shared" si="10"/>
        <v> Fedstats</v>
      </c>
      <c r="O210" t="str">
        <f t="shared" si="11"/>
        <v>https://fedstats.sites.usa.gov/</v>
      </c>
    </row>
    <row r="211" spans="1:15">
      <c r="A211" t="s">
        <v>996</v>
      </c>
      <c r="B211" t="s">
        <v>997</v>
      </c>
      <c r="C211" t="s">
        <v>998</v>
      </c>
      <c r="D211" t="s">
        <v>739</v>
      </c>
      <c r="E211" t="str">
        <f>VLOOKUP(D211,$K$3:$L$220,1,FALSE)</f>
        <v>Northern Mariana Islands</v>
      </c>
      <c r="F211" t="str">
        <f>VLOOKUP(D211,$K$3:$L$220,2,FALSE)</f>
        <v>MNP</v>
      </c>
      <c r="G211" t="s">
        <v>739</v>
      </c>
      <c r="H211" t="s">
        <v>997</v>
      </c>
      <c r="I211" t="s">
        <v>998</v>
      </c>
      <c r="K211" t="s">
        <v>439</v>
      </c>
      <c r="L211" t="s">
        <v>999</v>
      </c>
      <c r="M211" t="str">
        <f t="shared" si="9"/>
        <v>Uruguay</v>
      </c>
      <c r="N211" t="str">
        <f t="shared" si="10"/>
        <v> Instituto Nacional de Estadística</v>
      </c>
      <c r="O211" t="str">
        <f t="shared" si="11"/>
        <v>http://www.ine.gub.uy/</v>
      </c>
    </row>
    <row r="212" spans="1:15">
      <c r="A212" t="s">
        <v>1000</v>
      </c>
      <c r="B212" t="s">
        <v>1001</v>
      </c>
      <c r="C212" t="s">
        <v>1002</v>
      </c>
      <c r="D212" t="s">
        <v>756</v>
      </c>
      <c r="E212" t="str">
        <f>VLOOKUP(D212,$K$3:$L$220,1,FALSE)</f>
        <v>Palau</v>
      </c>
      <c r="F212" t="str">
        <f>VLOOKUP(D212,$K$3:$L$220,2,FALSE)</f>
        <v>PLW</v>
      </c>
      <c r="G212" t="s">
        <v>756</v>
      </c>
      <c r="H212" t="s">
        <v>1001</v>
      </c>
      <c r="I212" t="s">
        <v>1002</v>
      </c>
      <c r="K212" t="s">
        <v>725</v>
      </c>
      <c r="L212" t="s">
        <v>1003</v>
      </c>
      <c r="M212" t="str">
        <f t="shared" si="9"/>
        <v>Uzbekistan</v>
      </c>
      <c r="N212" t="str">
        <f t="shared" si="10"/>
        <v> State Committee of the Republic of Uzbekistan on Statistics</v>
      </c>
      <c r="O212" t="str">
        <f t="shared" si="11"/>
        <v>http://www.stat.uz/</v>
      </c>
    </row>
    <row r="213" spans="1:15">
      <c r="A213" t="s">
        <v>1004</v>
      </c>
      <c r="B213" t="s">
        <v>1005</v>
      </c>
      <c r="C213" t="s">
        <v>1006</v>
      </c>
      <c r="D213" t="s">
        <v>765</v>
      </c>
      <c r="E213" t="str">
        <f>VLOOKUP(D213,$K$3:$L$220,1,FALSE)</f>
        <v>Papua New Guinea</v>
      </c>
      <c r="F213" t="str">
        <f>VLOOKUP(D213,$K$3:$L$220,2,FALSE)</f>
        <v>PNG</v>
      </c>
      <c r="G213" t="s">
        <v>765</v>
      </c>
      <c r="H213" t="s">
        <v>1005</v>
      </c>
      <c r="I213" t="s">
        <v>1006</v>
      </c>
      <c r="K213" t="s">
        <v>1007</v>
      </c>
      <c r="L213" t="s">
        <v>1008</v>
      </c>
      <c r="M213" t="str">
        <f t="shared" si="9"/>
        <v>Vanuatu</v>
      </c>
      <c r="N213" t="str">
        <f t="shared" si="10"/>
        <v> Vanuatu National Statistics Office</v>
      </c>
      <c r="O213" t="str">
        <f t="shared" si="11"/>
        <v>http://www.spc.int/prism/Country/VU/stats/</v>
      </c>
    </row>
    <row r="214" spans="1:15">
      <c r="A214" t="s">
        <v>1009</v>
      </c>
      <c r="B214" t="s">
        <v>1010</v>
      </c>
      <c r="C214" t="s">
        <v>1011</v>
      </c>
      <c r="D214" t="s">
        <v>813</v>
      </c>
      <c r="E214" t="str">
        <f>VLOOKUP(D214,$K$3:$L$220,1,FALSE)</f>
        <v>Samoa</v>
      </c>
      <c r="F214" t="str">
        <f>VLOOKUP(D214,$K$3:$L$220,2,FALSE)</f>
        <v>WSM</v>
      </c>
      <c r="G214" t="s">
        <v>813</v>
      </c>
      <c r="H214" t="s">
        <v>1010</v>
      </c>
      <c r="I214" t="s">
        <v>1011</v>
      </c>
      <c r="K214" t="s">
        <v>489</v>
      </c>
      <c r="L214" t="s">
        <v>490</v>
      </c>
      <c r="M214" t="str">
        <f t="shared" si="9"/>
        <v>Venezuela</v>
      </c>
      <c r="N214" t="str">
        <f t="shared" si="10"/>
        <v> Instituto Nacional de Estadística</v>
      </c>
      <c r="O214" t="str">
        <f t="shared" si="11"/>
        <v>http://www.ine.gov.ve/</v>
      </c>
    </row>
    <row r="215" spans="1:15">
      <c r="A215" t="s">
        <v>1012</v>
      </c>
      <c r="B215" t="s">
        <v>1013</v>
      </c>
      <c r="C215" t="s">
        <v>1014</v>
      </c>
      <c r="D215" t="s">
        <v>865</v>
      </c>
      <c r="E215" t="str">
        <f>VLOOKUP(D215,$K$3:$L$220,1,FALSE)</f>
        <v>Solomon Islands</v>
      </c>
      <c r="F215" t="str">
        <f>VLOOKUP(D215,$K$3:$L$220,2,FALSE)</f>
        <v>SLB</v>
      </c>
      <c r="G215" t="s">
        <v>865</v>
      </c>
      <c r="H215" t="s">
        <v>1013</v>
      </c>
      <c r="I215" t="s">
        <v>1014</v>
      </c>
      <c r="K215" t="s">
        <v>731</v>
      </c>
      <c r="L215" t="s">
        <v>732</v>
      </c>
      <c r="M215" t="str">
        <f t="shared" si="9"/>
        <v>Viet Nam</v>
      </c>
      <c r="N215" t="str">
        <f t="shared" si="10"/>
        <v> General Statistics Office</v>
      </c>
      <c r="O215" t="str">
        <f t="shared" si="11"/>
        <v>http://www.gso.gov.vn/</v>
      </c>
    </row>
    <row r="216" spans="1:15">
      <c r="A216" t="s">
        <v>1015</v>
      </c>
      <c r="B216" t="s">
        <v>1016</v>
      </c>
      <c r="C216" t="s">
        <v>1017</v>
      </c>
      <c r="D216" t="s">
        <v>1018</v>
      </c>
      <c r="E216" s="4" t="e">
        <f>VLOOKUP(D216,$K$3:$L$220,1,FALSE)</f>
        <v>#N/A</v>
      </c>
      <c r="F216" s="4" t="e">
        <f>VLOOKUP(D216,$K$3:$L$220,2,FALSE)</f>
        <v>#N/A</v>
      </c>
      <c r="G216" t="s">
        <v>1018</v>
      </c>
      <c r="H216" t="s">
        <v>1016</v>
      </c>
      <c r="I216" t="s">
        <v>1017</v>
      </c>
      <c r="K216" s="4" t="s">
        <v>1019</v>
      </c>
      <c r="L216" s="4" t="s">
        <v>1020</v>
      </c>
      <c r="M216" s="4" t="e">
        <f t="shared" si="9"/>
        <v>#N/A</v>
      </c>
      <c r="N216" s="4" t="e">
        <f t="shared" si="10"/>
        <v>#N/A</v>
      </c>
      <c r="O216" s="4" t="e">
        <f t="shared" si="11"/>
        <v>#N/A</v>
      </c>
    </row>
    <row r="217" spans="1:15">
      <c r="A217" t="s">
        <v>1021</v>
      </c>
      <c r="B217" t="s">
        <v>1022</v>
      </c>
      <c r="C217" t="s">
        <v>1023</v>
      </c>
      <c r="D217" t="s">
        <v>949</v>
      </c>
      <c r="E217" t="str">
        <f>VLOOKUP(D217,$K$3:$L$220,1,FALSE)</f>
        <v>Tonga</v>
      </c>
      <c r="F217" t="str">
        <f>VLOOKUP(D217,$K$3:$L$220,2,FALSE)</f>
        <v>TON</v>
      </c>
      <c r="G217" t="s">
        <v>949</v>
      </c>
      <c r="H217" t="s">
        <v>1022</v>
      </c>
      <c r="I217" t="s">
        <v>1023</v>
      </c>
      <c r="K217" s="4" t="s">
        <v>1024</v>
      </c>
      <c r="L217" s="4" t="s">
        <v>1025</v>
      </c>
      <c r="M217" s="4" t="e">
        <f t="shared" si="9"/>
        <v>#N/A</v>
      </c>
      <c r="N217" s="4" t="e">
        <f t="shared" si="10"/>
        <v>#N/A</v>
      </c>
      <c r="O217" s="4" t="e">
        <f t="shared" si="11"/>
        <v>#N/A</v>
      </c>
    </row>
    <row r="218" spans="1:15">
      <c r="A218" t="s">
        <v>1026</v>
      </c>
      <c r="B218" t="s">
        <v>1027</v>
      </c>
      <c r="C218" t="s">
        <v>1028</v>
      </c>
      <c r="D218" t="s">
        <v>975</v>
      </c>
      <c r="E218" t="str">
        <f>VLOOKUP(D218,$K$3:$L$220,1,FALSE)</f>
        <v>Tuvalu</v>
      </c>
      <c r="F218" t="str">
        <f>VLOOKUP(D218,$K$3:$L$220,2,FALSE)</f>
        <v>TUV</v>
      </c>
      <c r="G218" t="s">
        <v>975</v>
      </c>
      <c r="H218" t="s">
        <v>1027</v>
      </c>
      <c r="I218" t="s">
        <v>1028</v>
      </c>
      <c r="K218" s="4" t="s">
        <v>1029</v>
      </c>
      <c r="L218" s="4" t="s">
        <v>1030</v>
      </c>
      <c r="M218" s="4" t="e">
        <f t="shared" si="9"/>
        <v>#N/A</v>
      </c>
      <c r="N218" s="4" t="e">
        <f t="shared" si="10"/>
        <v>#N/A</v>
      </c>
      <c r="O218" s="4" t="e">
        <f t="shared" si="11"/>
        <v>#N/A</v>
      </c>
    </row>
    <row r="219" spans="1:15">
      <c r="A219" t="s">
        <v>1031</v>
      </c>
      <c r="B219" t="s">
        <v>1032</v>
      </c>
      <c r="C219" t="s">
        <v>1033</v>
      </c>
      <c r="D219" t="s">
        <v>1007</v>
      </c>
      <c r="E219" t="str">
        <f>VLOOKUP(D219,$K$3:$L$220,1,FALSE)</f>
        <v>Vanuatu</v>
      </c>
      <c r="F219" t="str">
        <f>VLOOKUP(D219,$K$3:$L$220,2,FALSE)</f>
        <v>VUT</v>
      </c>
      <c r="G219" t="s">
        <v>1007</v>
      </c>
      <c r="H219" t="s">
        <v>1032</v>
      </c>
      <c r="I219" t="s">
        <v>1033</v>
      </c>
      <c r="K219" t="s">
        <v>294</v>
      </c>
      <c r="L219" t="s">
        <v>1034</v>
      </c>
      <c r="M219" t="str">
        <f t="shared" si="9"/>
        <v>Zambia</v>
      </c>
      <c r="N219" t="str">
        <f t="shared" si="10"/>
        <v> Central Statistical Office of Zambia</v>
      </c>
      <c r="O219" t="str">
        <f t="shared" si="11"/>
        <v>http://www.zamstats.gov.zm/</v>
      </c>
    </row>
    <row r="220" spans="1:15">
      <c r="K220" t="s">
        <v>300</v>
      </c>
      <c r="L220" t="s">
        <v>1035</v>
      </c>
      <c r="M220" t="str">
        <f t="shared" si="9"/>
        <v>Zimbabwe</v>
      </c>
      <c r="N220" t="str">
        <f t="shared" si="10"/>
        <v> ZIMSTAT</v>
      </c>
      <c r="O220" t="str">
        <f t="shared" si="11"/>
        <v>http://www.zimstat.co.zw/</v>
      </c>
    </row>
  </sheetData>
  <mergeCells count="4">
    <mergeCell ref="M1:O1"/>
    <mergeCell ref="A1:D1"/>
    <mergeCell ref="K1:L1"/>
    <mergeCell ref="G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730EC-3B19-4782-9439-ADA458CF1BFD}">
  <sheetPr>
    <tabColor rgb="FFFFC000"/>
  </sheetPr>
  <dimension ref="A1:J223"/>
  <sheetViews>
    <sheetView tabSelected="1" topLeftCell="A24" workbookViewId="0">
      <selection activeCell="F1" sqref="F1:G1"/>
    </sheetView>
  </sheetViews>
  <sheetFormatPr defaultRowHeight="14.45"/>
  <cols>
    <col min="1" max="4" width="15.7109375" customWidth="1"/>
    <col min="5" max="5" width="1.85546875" style="6" customWidth="1"/>
    <col min="6" max="6" width="25.85546875" bestFit="1" customWidth="1"/>
    <col min="7" max="10" width="10.7109375" customWidth="1"/>
  </cols>
  <sheetData>
    <row r="1" spans="1:10">
      <c r="A1" s="11" t="s">
        <v>1036</v>
      </c>
      <c r="B1" s="11"/>
      <c r="C1" s="11"/>
      <c r="D1" s="11"/>
      <c r="F1" s="13" t="s">
        <v>2</v>
      </c>
      <c r="G1" s="13"/>
      <c r="H1" s="14" t="s">
        <v>3</v>
      </c>
      <c r="I1" s="14"/>
      <c r="J1" s="14"/>
    </row>
    <row r="2" spans="1:10">
      <c r="A2" s="7" t="s">
        <v>1037</v>
      </c>
      <c r="B2" s="7" t="s">
        <v>4</v>
      </c>
      <c r="C2" s="7" t="s">
        <v>6</v>
      </c>
      <c r="D2" s="7" t="s">
        <v>1038</v>
      </c>
      <c r="F2" s="8" t="s">
        <v>8</v>
      </c>
      <c r="G2" s="8" t="s">
        <v>9</v>
      </c>
      <c r="H2" s="9" t="s">
        <v>4</v>
      </c>
      <c r="I2" s="9" t="s">
        <v>6</v>
      </c>
      <c r="J2" s="9" t="s">
        <v>1038</v>
      </c>
    </row>
    <row r="3" spans="1:10">
      <c r="A3" t="s">
        <v>82</v>
      </c>
      <c r="B3" t="s">
        <v>81</v>
      </c>
      <c r="C3" t="s">
        <v>1039</v>
      </c>
      <c r="D3" t="s">
        <v>1040</v>
      </c>
      <c r="F3" t="s">
        <v>14</v>
      </c>
      <c r="G3" t="s">
        <v>15</v>
      </c>
      <c r="H3" t="str">
        <f>VLOOKUP(G3,$A$3:$D$192,2,FALSE)</f>
        <v>Afghanistan, Islamic Republic of</v>
      </c>
      <c r="I3" t="str">
        <f>VLOOKUP(G3,$A$3:$D$192,3,FALSE)</f>
        <v>https://dsbb.imf.org/egdds/country/AFG/category</v>
      </c>
      <c r="J3" t="str">
        <f>VLOOKUP(G3,$A$3:$D$192,4,FALSE)</f>
        <v>Enhanced General Data Dissemination System (e-GDDS)</v>
      </c>
    </row>
    <row r="4" spans="1:10">
      <c r="A4" t="s">
        <v>127</v>
      </c>
      <c r="B4" t="s">
        <v>126</v>
      </c>
      <c r="C4" t="s">
        <v>1041</v>
      </c>
      <c r="D4" t="s">
        <v>1040</v>
      </c>
      <c r="F4" t="s">
        <v>20</v>
      </c>
      <c r="G4" t="s">
        <v>21</v>
      </c>
      <c r="H4" t="str">
        <f t="shared" ref="H4:H67" si="0">VLOOKUP(G4,$A$3:$D$192,2,FALSE)</f>
        <v>Albania</v>
      </c>
      <c r="I4" t="str">
        <f>VLOOKUP(G4,$A$3:$D$192,3,FALSE)</f>
        <v>https://dsbb.imf.org/egdds/country/ALB/category</v>
      </c>
      <c r="J4" t="str">
        <f t="shared" ref="J4:J67" si="1">VLOOKUP(G4,$A$3:$D$192,4,FALSE)</f>
        <v>Enhanced General Data Dissemination System (e-GDDS)</v>
      </c>
    </row>
    <row r="5" spans="1:10">
      <c r="A5" t="s">
        <v>188</v>
      </c>
      <c r="B5" t="s">
        <v>187</v>
      </c>
      <c r="C5" t="s">
        <v>1042</v>
      </c>
      <c r="D5" t="s">
        <v>1040</v>
      </c>
      <c r="F5" t="s">
        <v>13</v>
      </c>
      <c r="G5" t="s">
        <v>26</v>
      </c>
      <c r="H5" t="str">
        <f t="shared" si="0"/>
        <v>Algeria</v>
      </c>
      <c r="I5" t="str">
        <f>VLOOKUP(G5,$A$3:$D$192,3,FALSE)</f>
        <v>https://dsbb.imf.org/egdds/country/DZA/category</v>
      </c>
      <c r="J5" t="str">
        <f t="shared" si="1"/>
        <v>Enhanced General Data Dissemination System (e-GDDS)</v>
      </c>
    </row>
    <row r="6" spans="1:10">
      <c r="A6" t="s">
        <v>170</v>
      </c>
      <c r="B6" t="s">
        <v>169</v>
      </c>
      <c r="C6" t="s">
        <v>1043</v>
      </c>
      <c r="D6" t="s">
        <v>1040</v>
      </c>
      <c r="F6" s="4" t="s">
        <v>31</v>
      </c>
      <c r="G6" s="4" t="s">
        <v>32</v>
      </c>
      <c r="H6" s="4" t="e">
        <f t="shared" si="0"/>
        <v>#N/A</v>
      </c>
      <c r="I6" s="4" t="e">
        <f>VLOOKUP(G6,$A$3:$D$192,3,FALSE)</f>
        <v>#N/A</v>
      </c>
      <c r="J6" s="4" t="e">
        <f t="shared" si="1"/>
        <v>#N/A</v>
      </c>
    </row>
    <row r="7" spans="1:10">
      <c r="A7" t="s">
        <v>217</v>
      </c>
      <c r="B7" t="s">
        <v>216</v>
      </c>
      <c r="C7" t="s">
        <v>1044</v>
      </c>
      <c r="D7" t="s">
        <v>1040</v>
      </c>
      <c r="F7" t="s">
        <v>37</v>
      </c>
      <c r="G7" t="s">
        <v>38</v>
      </c>
      <c r="H7" t="str">
        <f t="shared" si="0"/>
        <v>Andorra, Principality of</v>
      </c>
      <c r="I7" t="str">
        <f>VLOOKUP(G7,$A$3:$D$192,3,FALSE)</f>
        <v>https://dsbb.imf.org/egdds/country/AND/category</v>
      </c>
      <c r="J7" t="str">
        <f t="shared" si="1"/>
        <v>Enhanced General Data Dissemination System (e-GDDS)</v>
      </c>
    </row>
    <row r="8" spans="1:10">
      <c r="A8" t="s">
        <v>311</v>
      </c>
      <c r="B8" t="s">
        <v>785</v>
      </c>
      <c r="C8" t="s">
        <v>1045</v>
      </c>
      <c r="D8" t="s">
        <v>1040</v>
      </c>
      <c r="F8" t="s">
        <v>19</v>
      </c>
      <c r="G8" t="s">
        <v>43</v>
      </c>
      <c r="H8" t="str">
        <f t="shared" si="0"/>
        <v>Angola</v>
      </c>
      <c r="I8" t="str">
        <f>VLOOKUP(G8,$A$3:$D$192,3,FALSE)</f>
        <v>https://dsbb.imf.org/egdds/country/AGO/category</v>
      </c>
      <c r="J8" t="str">
        <f t="shared" si="1"/>
        <v>Enhanced General Data Dissemination System (e-GDDS)</v>
      </c>
    </row>
    <row r="9" spans="1:10">
      <c r="A9" t="s">
        <v>246</v>
      </c>
      <c r="B9" t="s">
        <v>245</v>
      </c>
      <c r="C9" t="s">
        <v>1046</v>
      </c>
      <c r="D9" t="s">
        <v>1040</v>
      </c>
      <c r="F9" t="s">
        <v>47</v>
      </c>
      <c r="G9" t="s">
        <v>48</v>
      </c>
      <c r="H9" t="str">
        <f t="shared" si="0"/>
        <v>Antigua and Barbuda</v>
      </c>
      <c r="I9" t="str">
        <f>VLOOKUP(G9,$A$3:$D$192,3,FALSE)</f>
        <v>https://dsbb.imf.org/egdds/country/ATG/category</v>
      </c>
      <c r="J9" t="str">
        <f t="shared" si="1"/>
        <v>Enhanced General Data Dissemination System (e-GDDS)</v>
      </c>
    </row>
    <row r="10" spans="1:10">
      <c r="A10" t="s">
        <v>314</v>
      </c>
      <c r="B10" t="s">
        <v>313</v>
      </c>
      <c r="C10" t="s">
        <v>1047</v>
      </c>
      <c r="D10" t="s">
        <v>1040</v>
      </c>
      <c r="F10" t="s">
        <v>53</v>
      </c>
      <c r="G10" t="s">
        <v>54</v>
      </c>
      <c r="H10" t="str">
        <f>VLOOKUP(G10,$A$3:$D$192,2,FALSE)</f>
        <v>Argentina</v>
      </c>
      <c r="I10" t="str">
        <f>VLOOKUP(G10,$A$3:$D$192,3,FALSE)</f>
        <v>https://dsbb.imf.org/sdds/country/ARG/category</v>
      </c>
      <c r="J10" t="str">
        <f t="shared" si="1"/>
        <v>Special Data Dissemination Standard (SDDS)</v>
      </c>
    </row>
    <row r="11" spans="1:10">
      <c r="A11" t="s">
        <v>347</v>
      </c>
      <c r="B11" t="s">
        <v>346</v>
      </c>
      <c r="C11" t="s">
        <v>1048</v>
      </c>
      <c r="D11" t="s">
        <v>1040</v>
      </c>
      <c r="F11" t="s">
        <v>59</v>
      </c>
      <c r="G11" t="s">
        <v>60</v>
      </c>
      <c r="H11" t="str">
        <f t="shared" si="0"/>
        <v>Armenia</v>
      </c>
      <c r="I11" t="str">
        <f>VLOOKUP(G11,$A$3:$D$192,3,FALSE)</f>
        <v>https://dsbb.imf.org/sdds/country/ARM/category</v>
      </c>
      <c r="J11" t="str">
        <f t="shared" si="1"/>
        <v>Special Data Dissemination Standard (SDDS)</v>
      </c>
    </row>
    <row r="12" spans="1:10">
      <c r="A12" t="s">
        <v>362</v>
      </c>
      <c r="B12" t="s">
        <v>361</v>
      </c>
      <c r="C12" t="s">
        <v>1049</v>
      </c>
      <c r="D12" t="s">
        <v>1040</v>
      </c>
      <c r="F12" t="s">
        <v>65</v>
      </c>
      <c r="G12" t="s">
        <v>66</v>
      </c>
      <c r="H12" t="str">
        <f t="shared" si="0"/>
        <v>Aruba</v>
      </c>
      <c r="I12" t="str">
        <f>VLOOKUP(G12,$A$3:$D$192,3,FALSE)</f>
        <v>https://dsbb.imf.org/egdds/country/ABW/category</v>
      </c>
      <c r="J12" t="str">
        <f t="shared" si="1"/>
        <v>Enhanced General Data Dissemination System (e-GDDS)</v>
      </c>
    </row>
    <row r="13" spans="1:10">
      <c r="A13" t="s">
        <v>366</v>
      </c>
      <c r="B13" t="s">
        <v>365</v>
      </c>
      <c r="C13" t="s">
        <v>1050</v>
      </c>
      <c r="D13" t="s">
        <v>1040</v>
      </c>
      <c r="F13" t="s">
        <v>73</v>
      </c>
      <c r="G13" t="s">
        <v>74</v>
      </c>
      <c r="H13" t="str">
        <f t="shared" si="0"/>
        <v>Australia</v>
      </c>
      <c r="I13" t="str">
        <f>VLOOKUP(G13,$A$3:$D$192,3,FALSE)</f>
        <v>https://dsbb.imf.org/sdds/country/AUS/category</v>
      </c>
      <c r="J13" t="str">
        <f t="shared" si="1"/>
        <v>Special Data Dissemination Standard (SDDS)</v>
      </c>
    </row>
    <row r="14" spans="1:10">
      <c r="A14" t="s">
        <v>386</v>
      </c>
      <c r="B14" t="s">
        <v>385</v>
      </c>
      <c r="C14" t="s">
        <v>1051</v>
      </c>
      <c r="D14" t="s">
        <v>1040</v>
      </c>
      <c r="F14" t="s">
        <v>81</v>
      </c>
      <c r="G14" t="s">
        <v>82</v>
      </c>
      <c r="H14" t="str">
        <f t="shared" si="0"/>
        <v>Austria</v>
      </c>
      <c r="I14" t="str">
        <f>VLOOKUP(G14,$A$3:$D$192,3,FALSE)</f>
        <v>https://dsbb.imf.org/sddsplus/country/AUT/category</v>
      </c>
      <c r="J14" t="str">
        <f t="shared" si="1"/>
        <v>Special Data Dissemination Standard Plus (SDDS Plus)</v>
      </c>
    </row>
    <row r="15" spans="1:10">
      <c r="A15" t="s">
        <v>450</v>
      </c>
      <c r="B15" t="s">
        <v>449</v>
      </c>
      <c r="C15" t="s">
        <v>1052</v>
      </c>
      <c r="D15" t="s">
        <v>1040</v>
      </c>
      <c r="F15" t="s">
        <v>87</v>
      </c>
      <c r="G15" t="s">
        <v>88</v>
      </c>
      <c r="H15" t="str">
        <f t="shared" si="0"/>
        <v>Azerbaijan</v>
      </c>
      <c r="I15" t="str">
        <f>VLOOKUP(G15,$A$3:$D$192,3,FALSE)</f>
        <v>https://dsbb.imf.org/egdds/country/AZE/category</v>
      </c>
      <c r="J15" t="str">
        <f t="shared" si="1"/>
        <v>Enhanced General Data Dissemination System (e-GDDS)</v>
      </c>
    </row>
    <row r="16" spans="1:10">
      <c r="A16" t="s">
        <v>482</v>
      </c>
      <c r="B16" t="s">
        <v>481</v>
      </c>
      <c r="C16" t="s">
        <v>1053</v>
      </c>
      <c r="D16" t="s">
        <v>1040</v>
      </c>
      <c r="F16" t="s">
        <v>95</v>
      </c>
      <c r="G16" t="s">
        <v>96</v>
      </c>
      <c r="H16" t="str">
        <f t="shared" si="0"/>
        <v>Bahamas, The</v>
      </c>
      <c r="I16" t="str">
        <f>VLOOKUP(G16,$A$3:$D$192,3,FALSE)</f>
        <v>https://dsbb.imf.org/egdds/country/BHS/category</v>
      </c>
      <c r="J16" t="str">
        <f t="shared" si="1"/>
        <v>Enhanced General Data Dissemination System (e-GDDS)</v>
      </c>
    </row>
    <row r="17" spans="1:10">
      <c r="A17" t="s">
        <v>486</v>
      </c>
      <c r="B17" t="s">
        <v>485</v>
      </c>
      <c r="C17" t="s">
        <v>1054</v>
      </c>
      <c r="D17" t="s">
        <v>1040</v>
      </c>
      <c r="F17" t="s">
        <v>101</v>
      </c>
      <c r="G17" t="s">
        <v>102</v>
      </c>
      <c r="H17" t="str">
        <f t="shared" si="0"/>
        <v>Bahrain</v>
      </c>
      <c r="I17" t="str">
        <f>VLOOKUP(G17,$A$3:$D$192,3,FALSE)</f>
        <v>https://dsbb.imf.org/egdds/country/BHR/category</v>
      </c>
      <c r="J17" t="str">
        <f t="shared" si="1"/>
        <v>Enhanced General Data Dissemination System (e-GDDS)</v>
      </c>
    </row>
    <row r="18" spans="1:10">
      <c r="A18" t="s">
        <v>496</v>
      </c>
      <c r="B18" t="s">
        <v>495</v>
      </c>
      <c r="C18" t="s">
        <v>1055</v>
      </c>
      <c r="D18" t="s">
        <v>1040</v>
      </c>
      <c r="F18" t="s">
        <v>107</v>
      </c>
      <c r="G18" t="s">
        <v>108</v>
      </c>
      <c r="H18" t="str">
        <f t="shared" si="0"/>
        <v>Bangladesh</v>
      </c>
      <c r="I18" t="str">
        <f>VLOOKUP(G18,$A$3:$D$192,3,FALSE)</f>
        <v>https://dsbb.imf.org/egdds/country/BGD/category</v>
      </c>
      <c r="J18" t="str">
        <f t="shared" si="1"/>
        <v>Enhanced General Data Dissemination System (e-GDDS)</v>
      </c>
    </row>
    <row r="19" spans="1:10">
      <c r="A19" t="s">
        <v>553</v>
      </c>
      <c r="B19" t="s">
        <v>552</v>
      </c>
      <c r="C19" t="s">
        <v>1056</v>
      </c>
      <c r="D19" t="s">
        <v>1040</v>
      </c>
      <c r="F19" t="s">
        <v>113</v>
      </c>
      <c r="G19" t="s">
        <v>114</v>
      </c>
      <c r="H19" t="str">
        <f t="shared" si="0"/>
        <v>Barbados</v>
      </c>
      <c r="I19" t="str">
        <f>VLOOKUP(G19,$A$3:$D$192,3,FALSE)</f>
        <v>https://dsbb.imf.org/egdds/country/BRB/category</v>
      </c>
      <c r="J19" t="str">
        <f t="shared" si="1"/>
        <v>Enhanced General Data Dissemination System (e-GDDS)</v>
      </c>
    </row>
    <row r="20" spans="1:10">
      <c r="A20" t="s">
        <v>583</v>
      </c>
      <c r="B20" t="s">
        <v>582</v>
      </c>
      <c r="C20" t="s">
        <v>1057</v>
      </c>
      <c r="D20" t="s">
        <v>1040</v>
      </c>
      <c r="F20" t="s">
        <v>121</v>
      </c>
      <c r="G20" t="s">
        <v>122</v>
      </c>
      <c r="H20" t="str">
        <f t="shared" si="0"/>
        <v>Belarus, Republic of</v>
      </c>
      <c r="I20" t="str">
        <f>VLOOKUP(G20,$A$3:$D$192,3,FALSE)</f>
        <v>https://dsbb.imf.org/sdds/country/BLR/category</v>
      </c>
      <c r="J20" t="str">
        <f t="shared" si="1"/>
        <v>Special Data Dissemination Standard (SDDS)</v>
      </c>
    </row>
    <row r="21" spans="1:10">
      <c r="A21" t="s">
        <v>579</v>
      </c>
      <c r="B21" t="s">
        <v>578</v>
      </c>
      <c r="C21" t="s">
        <v>1058</v>
      </c>
      <c r="D21" t="s">
        <v>1040</v>
      </c>
      <c r="F21" t="s">
        <v>126</v>
      </c>
      <c r="G21" t="s">
        <v>127</v>
      </c>
      <c r="H21" t="str">
        <f t="shared" si="0"/>
        <v>Belgium</v>
      </c>
      <c r="I21" t="str">
        <f>VLOOKUP(G21,$A$3:$D$192,3,FALSE)</f>
        <v>https://dsbb.imf.org/sddsplus/country/BEL/category</v>
      </c>
      <c r="J21" t="str">
        <f t="shared" si="1"/>
        <v>Special Data Dissemination Standard Plus (SDDS Plus)</v>
      </c>
    </row>
    <row r="22" spans="1:10">
      <c r="A22" t="s">
        <v>614</v>
      </c>
      <c r="B22" t="s">
        <v>613</v>
      </c>
      <c r="C22" t="s">
        <v>1059</v>
      </c>
      <c r="D22" t="s">
        <v>1040</v>
      </c>
      <c r="F22" t="s">
        <v>132</v>
      </c>
      <c r="G22" t="s">
        <v>133</v>
      </c>
      <c r="H22" t="str">
        <f t="shared" si="0"/>
        <v>Belize</v>
      </c>
      <c r="I22" t="str">
        <f>VLOOKUP(G22,$A$3:$D$192,3,FALSE)</f>
        <v>https://dsbb.imf.org/egdds/country/BLZ/category</v>
      </c>
      <c r="J22" t="str">
        <f t="shared" si="1"/>
        <v>Enhanced General Data Dissemination System (e-GDDS)</v>
      </c>
    </row>
    <row r="23" spans="1:10">
      <c r="A23" t="s">
        <v>696</v>
      </c>
      <c r="B23" t="s">
        <v>695</v>
      </c>
      <c r="C23" t="s">
        <v>1060</v>
      </c>
      <c r="D23" t="s">
        <v>1040</v>
      </c>
      <c r="F23" t="s">
        <v>25</v>
      </c>
      <c r="G23" t="s">
        <v>138</v>
      </c>
      <c r="H23" t="str">
        <f t="shared" si="0"/>
        <v>Benin</v>
      </c>
      <c r="I23" t="str">
        <f>VLOOKUP(G23,$A$3:$D$192,3,FALSE)</f>
        <v>https://dsbb.imf.org/egdds/country/BEN/category</v>
      </c>
      <c r="J23" t="str">
        <f t="shared" si="1"/>
        <v>Enhanced General Data Dissemination System (e-GDDS)</v>
      </c>
    </row>
    <row r="24" spans="1:10">
      <c r="A24" t="s">
        <v>734</v>
      </c>
      <c r="B24" t="s">
        <v>1061</v>
      </c>
      <c r="C24" t="s">
        <v>1062</v>
      </c>
      <c r="D24" t="s">
        <v>1040</v>
      </c>
      <c r="F24" s="4" t="s">
        <v>142</v>
      </c>
      <c r="G24" s="4" t="s">
        <v>143</v>
      </c>
      <c r="H24" s="4" t="e">
        <f t="shared" si="0"/>
        <v>#N/A</v>
      </c>
      <c r="I24" s="4" t="e">
        <f>VLOOKUP(G24,$A$3:$D$192,3,FALSE)</f>
        <v>#N/A</v>
      </c>
      <c r="J24" s="4" t="e">
        <f t="shared" si="1"/>
        <v>#N/A</v>
      </c>
    </row>
    <row r="25" spans="1:10">
      <c r="A25" t="s">
        <v>787</v>
      </c>
      <c r="B25" t="s">
        <v>786</v>
      </c>
      <c r="C25" t="s">
        <v>1063</v>
      </c>
      <c r="D25" t="s">
        <v>1040</v>
      </c>
      <c r="F25" t="s">
        <v>148</v>
      </c>
      <c r="G25" t="s">
        <v>149</v>
      </c>
      <c r="H25" t="str">
        <f t="shared" si="0"/>
        <v>Bhutan</v>
      </c>
      <c r="I25" t="str">
        <f>VLOOKUP(G25,$A$3:$D$192,3,FALSE)</f>
        <v>https://dsbb.imf.org/egdds/country/BTN/category</v>
      </c>
      <c r="J25" t="str">
        <f t="shared" si="1"/>
        <v>Enhanced General Data Dissemination System (e-GDDS)</v>
      </c>
    </row>
    <row r="26" spans="1:10">
      <c r="A26" t="s">
        <v>801</v>
      </c>
      <c r="B26" t="s">
        <v>800</v>
      </c>
      <c r="C26" t="s">
        <v>1064</v>
      </c>
      <c r="D26" t="s">
        <v>1040</v>
      </c>
      <c r="F26" t="s">
        <v>154</v>
      </c>
      <c r="G26" t="s">
        <v>155</v>
      </c>
      <c r="H26" t="str">
        <f t="shared" si="0"/>
        <v>Bolivia</v>
      </c>
      <c r="I26" t="str">
        <f>VLOOKUP(G26,$A$3:$D$192,3,FALSE)</f>
        <v>https://dsbb.imf.org/egdds/country/BOL/category</v>
      </c>
      <c r="J26" t="str">
        <f t="shared" si="1"/>
        <v>Enhanced General Data Dissemination System (e-GDDS)</v>
      </c>
    </row>
    <row r="27" spans="1:10">
      <c r="A27" t="s">
        <v>856</v>
      </c>
      <c r="B27" t="s">
        <v>855</v>
      </c>
      <c r="C27" t="s">
        <v>1065</v>
      </c>
      <c r="D27" t="s">
        <v>1040</v>
      </c>
      <c r="F27" t="s">
        <v>159</v>
      </c>
      <c r="G27" t="s">
        <v>160</v>
      </c>
      <c r="H27" t="str">
        <f t="shared" si="0"/>
        <v>Bosnia and Herzegovina</v>
      </c>
      <c r="I27" t="str">
        <f>VLOOKUP(G27,$A$3:$D$192,3,FALSE)</f>
        <v>https://dsbb.imf.org/sdds/country/BIH/category</v>
      </c>
      <c r="J27" t="str">
        <f t="shared" si="1"/>
        <v>Special Data Dissemination Standard (SDDS)</v>
      </c>
    </row>
    <row r="28" spans="1:10">
      <c r="A28" t="s">
        <v>913</v>
      </c>
      <c r="B28" t="s">
        <v>912</v>
      </c>
      <c r="C28" t="s">
        <v>1066</v>
      </c>
      <c r="D28" t="s">
        <v>1040</v>
      </c>
      <c r="F28" t="s">
        <v>30</v>
      </c>
      <c r="G28" t="s">
        <v>164</v>
      </c>
      <c r="H28" t="str">
        <f t="shared" si="0"/>
        <v>Botswana</v>
      </c>
      <c r="I28" t="str">
        <f>VLOOKUP(G28,$A$3:$D$192,3,FALSE)</f>
        <v>https://dsbb.imf.org/egdds/country/BWA/category</v>
      </c>
      <c r="J28" t="str">
        <f t="shared" si="1"/>
        <v>Enhanced General Data Dissemination System (e-GDDS)</v>
      </c>
    </row>
    <row r="29" spans="1:10">
      <c r="A29" t="s">
        <v>861</v>
      </c>
      <c r="B29" t="s">
        <v>860</v>
      </c>
      <c r="C29" t="s">
        <v>1067</v>
      </c>
      <c r="D29" t="s">
        <v>1040</v>
      </c>
      <c r="F29" t="s">
        <v>169</v>
      </c>
      <c r="G29" t="s">
        <v>170</v>
      </c>
      <c r="H29" t="str">
        <f t="shared" si="0"/>
        <v>Brazil</v>
      </c>
      <c r="I29" t="str">
        <f>VLOOKUP(G29,$A$3:$D$192,3,FALSE)</f>
        <v>https://dsbb.imf.org/sddsplus/country/BRA/category</v>
      </c>
      <c r="J29" t="str">
        <f t="shared" si="1"/>
        <v>Special Data Dissemination Standard Plus (SDDS Plus)</v>
      </c>
    </row>
    <row r="30" spans="1:10">
      <c r="A30" t="s">
        <v>918</v>
      </c>
      <c r="B30" t="s">
        <v>917</v>
      </c>
      <c r="C30" t="s">
        <v>1068</v>
      </c>
      <c r="D30" t="s">
        <v>1040</v>
      </c>
      <c r="F30" s="4" t="s">
        <v>175</v>
      </c>
      <c r="G30" s="4" t="s">
        <v>176</v>
      </c>
      <c r="H30" s="4" t="e">
        <f t="shared" si="0"/>
        <v>#N/A</v>
      </c>
      <c r="I30" s="4" t="e">
        <f>VLOOKUP(G30,$A$3:$D$192,3,FALSE)</f>
        <v>#N/A</v>
      </c>
      <c r="J30" s="4" t="e">
        <f t="shared" si="1"/>
        <v>#N/A</v>
      </c>
    </row>
    <row r="31" spans="1:10">
      <c r="A31" t="s">
        <v>882</v>
      </c>
      <c r="B31" t="s">
        <v>881</v>
      </c>
      <c r="C31" t="s">
        <v>1069</v>
      </c>
      <c r="D31" t="s">
        <v>1040</v>
      </c>
      <c r="F31" t="s">
        <v>181</v>
      </c>
      <c r="G31" t="s">
        <v>182</v>
      </c>
      <c r="H31" t="str">
        <f t="shared" si="0"/>
        <v>Brunei Darussalam</v>
      </c>
      <c r="I31" t="str">
        <f>VLOOKUP(G31,$A$3:$D$192,3,FALSE)</f>
        <v>https://dsbb.imf.org/egdds/country/BRN/category</v>
      </c>
      <c r="J31" t="str">
        <f t="shared" si="1"/>
        <v>Enhanced General Data Dissemination System (e-GDDS)</v>
      </c>
    </row>
    <row r="32" spans="1:10">
      <c r="A32" t="s">
        <v>990</v>
      </c>
      <c r="B32" t="s">
        <v>945</v>
      </c>
      <c r="C32" t="s">
        <v>1070</v>
      </c>
      <c r="D32" t="s">
        <v>1040</v>
      </c>
      <c r="F32" t="s">
        <v>187</v>
      </c>
      <c r="G32" t="s">
        <v>188</v>
      </c>
      <c r="H32" t="str">
        <f t="shared" si="0"/>
        <v>Bulgaria</v>
      </c>
      <c r="I32" t="str">
        <f>VLOOKUP(G32,$A$3:$D$192,3,FALSE)</f>
        <v>https://dsbb.imf.org/sddsplus/country/BGR/category</v>
      </c>
      <c r="J32" t="str">
        <f t="shared" si="1"/>
        <v>Special Data Dissemination Standard Plus (SDDS Plus)</v>
      </c>
    </row>
    <row r="33" spans="1:10">
      <c r="A33" t="s">
        <v>995</v>
      </c>
      <c r="B33" t="s">
        <v>442</v>
      </c>
      <c r="C33" t="s">
        <v>1071</v>
      </c>
      <c r="D33" t="s">
        <v>1040</v>
      </c>
      <c r="F33" t="s">
        <v>36</v>
      </c>
      <c r="G33" t="s">
        <v>193</v>
      </c>
      <c r="H33" t="str">
        <f t="shared" si="0"/>
        <v>Burkina Faso</v>
      </c>
      <c r="I33" t="str">
        <f>VLOOKUP(G33,$A$3:$D$192,3,FALSE)</f>
        <v>https://dsbb.imf.org/egdds/country/BFA/category</v>
      </c>
      <c r="J33" t="str">
        <f t="shared" si="1"/>
        <v>Enhanced General Data Dissemination System (e-GDDS)</v>
      </c>
    </row>
    <row r="34" spans="1:10">
      <c r="A34" t="s">
        <v>54</v>
      </c>
      <c r="B34" t="s">
        <v>53</v>
      </c>
      <c r="C34" t="s">
        <v>1072</v>
      </c>
      <c r="D34" t="s">
        <v>1073</v>
      </c>
      <c r="F34" t="s">
        <v>42</v>
      </c>
      <c r="G34" t="s">
        <v>197</v>
      </c>
      <c r="H34" t="str">
        <f t="shared" si="0"/>
        <v>Burundi</v>
      </c>
      <c r="I34" t="str">
        <f>VLOOKUP(G34,$A$3:$D$192,3,FALSE)</f>
        <v>https://dsbb.imf.org/egdds/country/BDI/category</v>
      </c>
      <c r="J34" t="str">
        <f t="shared" si="1"/>
        <v>Enhanced General Data Dissemination System (e-GDDS)</v>
      </c>
    </row>
    <row r="35" spans="1:10">
      <c r="A35" t="s">
        <v>74</v>
      </c>
      <c r="B35" t="s">
        <v>73</v>
      </c>
      <c r="C35" t="s">
        <v>1074</v>
      </c>
      <c r="D35" t="s">
        <v>1073</v>
      </c>
      <c r="F35" t="s">
        <v>46</v>
      </c>
      <c r="G35" t="s">
        <v>202</v>
      </c>
      <c r="H35" t="str">
        <f t="shared" si="0"/>
        <v>Cabo Verde</v>
      </c>
      <c r="I35" t="str">
        <f>VLOOKUP(G35,$A$3:$D$192,3,FALSE)</f>
        <v>https://dsbb.imf.org/egdds/country/CPV/category</v>
      </c>
      <c r="J35" t="str">
        <f t="shared" si="1"/>
        <v>Enhanced General Data Dissemination System (e-GDDS)</v>
      </c>
    </row>
    <row r="36" spans="1:10">
      <c r="A36" t="s">
        <v>60</v>
      </c>
      <c r="B36" t="s">
        <v>59</v>
      </c>
      <c r="C36" t="s">
        <v>1075</v>
      </c>
      <c r="D36" t="s">
        <v>1073</v>
      </c>
      <c r="F36" t="s">
        <v>206</v>
      </c>
      <c r="G36" t="s">
        <v>207</v>
      </c>
      <c r="H36" t="str">
        <f t="shared" si="0"/>
        <v>Cambodia</v>
      </c>
      <c r="I36" t="str">
        <f>VLOOKUP(G36,$A$3:$D$192,3,FALSE)</f>
        <v>https://dsbb.imf.org/egdds/country/KHM/category</v>
      </c>
      <c r="J36" t="str">
        <f t="shared" si="1"/>
        <v>Enhanced General Data Dissemination System (e-GDDS)</v>
      </c>
    </row>
    <row r="37" spans="1:10">
      <c r="A37" t="s">
        <v>122</v>
      </c>
      <c r="B37" t="s">
        <v>1076</v>
      </c>
      <c r="C37" t="s">
        <v>1077</v>
      </c>
      <c r="D37" t="s">
        <v>1073</v>
      </c>
      <c r="F37" t="s">
        <v>52</v>
      </c>
      <c r="G37" t="s">
        <v>211</v>
      </c>
      <c r="H37" t="str">
        <f t="shared" si="0"/>
        <v>Cameroon</v>
      </c>
      <c r="I37" t="str">
        <f>VLOOKUP(G37,$A$3:$D$192,3,FALSE)</f>
        <v>https://dsbb.imf.org/egdds/country/CMR/category</v>
      </c>
      <c r="J37" t="str">
        <f t="shared" si="1"/>
        <v>Enhanced General Data Dissemination System (e-GDDS)</v>
      </c>
    </row>
    <row r="38" spans="1:10">
      <c r="A38" t="s">
        <v>160</v>
      </c>
      <c r="B38" t="s">
        <v>159</v>
      </c>
      <c r="C38" t="s">
        <v>1078</v>
      </c>
      <c r="D38" t="s">
        <v>1073</v>
      </c>
      <c r="F38" t="s">
        <v>216</v>
      </c>
      <c r="G38" t="s">
        <v>217</v>
      </c>
      <c r="H38" t="str">
        <f t="shared" si="0"/>
        <v>Canada</v>
      </c>
      <c r="I38" t="str">
        <f>VLOOKUP(G38,$A$3:$D$192,3,FALSE)</f>
        <v>https://dsbb.imf.org/sddsplus/country/CAN/category</v>
      </c>
      <c r="J38" t="str">
        <f t="shared" si="1"/>
        <v>Special Data Dissemination Standard Plus (SDDS Plus)</v>
      </c>
    </row>
    <row r="39" spans="1:10">
      <c r="A39" t="s">
        <v>446</v>
      </c>
      <c r="B39" t="s">
        <v>1079</v>
      </c>
      <c r="C39" t="s">
        <v>1080</v>
      </c>
      <c r="D39" t="s">
        <v>1073</v>
      </c>
      <c r="F39" s="4" t="s">
        <v>224</v>
      </c>
      <c r="G39" s="4" t="s">
        <v>225</v>
      </c>
      <c r="H39" s="4" t="e">
        <f t="shared" si="0"/>
        <v>#N/A</v>
      </c>
      <c r="I39" s="4" t="e">
        <f>VLOOKUP(G39,$A$3:$D$192,3,FALSE)</f>
        <v>#N/A</v>
      </c>
      <c r="J39" s="4" t="e">
        <f t="shared" si="1"/>
        <v>#N/A</v>
      </c>
    </row>
    <row r="40" spans="1:10">
      <c r="A40" t="s">
        <v>279</v>
      </c>
      <c r="B40" t="s">
        <v>278</v>
      </c>
      <c r="C40" t="s">
        <v>1081</v>
      </c>
      <c r="D40" t="s">
        <v>1073</v>
      </c>
      <c r="F40" t="s">
        <v>58</v>
      </c>
      <c r="G40" t="s">
        <v>230</v>
      </c>
      <c r="H40" t="str">
        <f t="shared" si="0"/>
        <v>Central African Republic</v>
      </c>
      <c r="I40" t="str">
        <f>VLOOKUP(G40,$A$3:$D$192,3,FALSE)</f>
        <v>https://dsbb.imf.org/egdds/country/CAF/category</v>
      </c>
      <c r="J40" t="str">
        <f t="shared" si="1"/>
        <v>Enhanced General Data Dissemination System (e-GDDS)</v>
      </c>
    </row>
    <row r="41" spans="1:10">
      <c r="A41" t="s">
        <v>251</v>
      </c>
      <c r="B41" t="s">
        <v>1082</v>
      </c>
      <c r="C41" t="s">
        <v>1083</v>
      </c>
      <c r="D41" t="s">
        <v>1073</v>
      </c>
      <c r="F41" t="s">
        <v>64</v>
      </c>
      <c r="G41" t="s">
        <v>234</v>
      </c>
      <c r="H41" t="str">
        <f t="shared" si="0"/>
        <v>Chad</v>
      </c>
      <c r="I41" t="str">
        <f>VLOOKUP(G41,$A$3:$D$192,3,FALSE)</f>
        <v>https://dsbb.imf.org/egdds/country/TCD/category</v>
      </c>
      <c r="J41" t="str">
        <f t="shared" si="1"/>
        <v>Enhanced General Data Dissemination System (e-GDDS)</v>
      </c>
    </row>
    <row r="42" spans="1:10">
      <c r="A42" t="s">
        <v>290</v>
      </c>
      <c r="B42" t="s">
        <v>289</v>
      </c>
      <c r="C42" t="s">
        <v>1084</v>
      </c>
      <c r="D42" t="s">
        <v>1073</v>
      </c>
      <c r="F42" s="4" t="s">
        <v>239</v>
      </c>
      <c r="G42" s="4" t="s">
        <v>240</v>
      </c>
      <c r="H42" s="4" t="e">
        <f t="shared" si="0"/>
        <v>#N/A</v>
      </c>
      <c r="I42" s="4" t="e">
        <f>VLOOKUP(G42,$A$3:$D$192,3,FALSE)</f>
        <v>#N/A</v>
      </c>
      <c r="J42" s="4" t="e">
        <f t="shared" si="1"/>
        <v>#N/A</v>
      </c>
    </row>
    <row r="43" spans="1:10">
      <c r="A43" t="s">
        <v>257</v>
      </c>
      <c r="B43" t="s">
        <v>256</v>
      </c>
      <c r="C43" t="s">
        <v>1085</v>
      </c>
      <c r="D43" t="s">
        <v>1073</v>
      </c>
      <c r="F43" t="s">
        <v>245</v>
      </c>
      <c r="G43" t="s">
        <v>246</v>
      </c>
      <c r="H43" t="str">
        <f t="shared" si="0"/>
        <v>Chile</v>
      </c>
      <c r="I43" t="str">
        <f>VLOOKUP(G43,$A$3:$D$192,3,FALSE)</f>
        <v>https://dsbb.imf.org/sddsplus/country/CHL/category</v>
      </c>
      <c r="J43" t="str">
        <f t="shared" si="1"/>
        <v>Special Data Dissemination Standard Plus (SDDS Plus)</v>
      </c>
    </row>
    <row r="44" spans="1:10">
      <c r="A44" t="s">
        <v>307</v>
      </c>
      <c r="B44" t="s">
        <v>306</v>
      </c>
      <c r="C44" t="s">
        <v>1086</v>
      </c>
      <c r="D44" t="s">
        <v>1073</v>
      </c>
      <c r="F44" t="s">
        <v>250</v>
      </c>
      <c r="G44" t="s">
        <v>251</v>
      </c>
      <c r="H44" t="str">
        <f t="shared" si="0"/>
        <v>China, People’s Republic</v>
      </c>
      <c r="I44" t="str">
        <f>VLOOKUP(G44,$A$3:$D$192,3,FALSE)</f>
        <v>https://dsbb.imf.org/sdds/country/CHN/category</v>
      </c>
      <c r="J44" t="str">
        <f t="shared" si="1"/>
        <v>Special Data Dissemination Standard (SDDS)</v>
      </c>
    </row>
    <row r="45" spans="1:10">
      <c r="A45" t="s">
        <v>329</v>
      </c>
      <c r="B45" t="s">
        <v>328</v>
      </c>
      <c r="C45" t="s">
        <v>1087</v>
      </c>
      <c r="D45" t="s">
        <v>1073</v>
      </c>
      <c r="F45" t="s">
        <v>256</v>
      </c>
      <c r="G45" t="s">
        <v>257</v>
      </c>
      <c r="H45" t="str">
        <f t="shared" si="0"/>
        <v>Colombia</v>
      </c>
      <c r="I45" t="str">
        <f>VLOOKUP(G45,$A$3:$D$192,3,FALSE)</f>
        <v>https://dsbb.imf.org/sdds/country/COL/category</v>
      </c>
      <c r="J45" t="str">
        <f t="shared" si="1"/>
        <v>Special Data Dissemination Standard (SDDS)</v>
      </c>
    </row>
    <row r="46" spans="1:10">
      <c r="A46" t="s">
        <v>335</v>
      </c>
      <c r="B46" t="s">
        <v>334</v>
      </c>
      <c r="C46" t="s">
        <v>1088</v>
      </c>
      <c r="D46" t="s">
        <v>1073</v>
      </c>
      <c r="F46" t="s">
        <v>261</v>
      </c>
      <c r="G46" t="s">
        <v>262</v>
      </c>
      <c r="H46" t="str">
        <f t="shared" si="0"/>
        <v>Comoros</v>
      </c>
      <c r="I46" t="str">
        <f>VLOOKUP(G46,$A$3:$D$192,3,FALSE)</f>
        <v>https://dsbb.imf.org/egdds/country/COM/category</v>
      </c>
      <c r="J46" t="str">
        <f t="shared" si="1"/>
        <v>Enhanced General Data Dissemination System (e-GDDS)</v>
      </c>
    </row>
    <row r="47" spans="1:10">
      <c r="A47" t="s">
        <v>94</v>
      </c>
      <c r="B47" t="s">
        <v>92</v>
      </c>
      <c r="C47" t="s">
        <v>1089</v>
      </c>
      <c r="D47" t="s">
        <v>1073</v>
      </c>
      <c r="F47" t="s">
        <v>268</v>
      </c>
      <c r="G47" t="s">
        <v>269</v>
      </c>
      <c r="H47" t="str">
        <f t="shared" si="0"/>
        <v>Congo, Dem. Rep. of</v>
      </c>
      <c r="I47" t="str">
        <f>VLOOKUP(G47,$A$3:$D$192,3,FALSE)</f>
        <v>https://dsbb.imf.org/egdds/country/COD/category</v>
      </c>
      <c r="J47" t="str">
        <f t="shared" si="1"/>
        <v>Enhanced General Data Dissemination System (e-GDDS)</v>
      </c>
    </row>
    <row r="48" spans="1:10">
      <c r="A48" t="s">
        <v>381</v>
      </c>
      <c r="B48" t="s">
        <v>380</v>
      </c>
      <c r="C48" t="s">
        <v>1090</v>
      </c>
      <c r="D48" t="s">
        <v>1073</v>
      </c>
      <c r="F48" t="s">
        <v>71</v>
      </c>
      <c r="G48" t="s">
        <v>72</v>
      </c>
      <c r="H48" t="str">
        <f t="shared" si="0"/>
        <v>Congo, Rep. of</v>
      </c>
      <c r="I48" t="str">
        <f>VLOOKUP(G48,$A$3:$D$192,3,FALSE)</f>
        <v>https://dsbb.imf.org/egdds/country/COG/category</v>
      </c>
      <c r="J48" t="str">
        <f t="shared" si="1"/>
        <v>Enhanced General Data Dissemination System (e-GDDS)</v>
      </c>
    </row>
    <row r="49" spans="1:10">
      <c r="A49" t="s">
        <v>400</v>
      </c>
      <c r="B49" t="s">
        <v>399</v>
      </c>
      <c r="C49" t="s">
        <v>1091</v>
      </c>
      <c r="D49" t="s">
        <v>1073</v>
      </c>
      <c r="F49" t="s">
        <v>278</v>
      </c>
      <c r="G49" t="s">
        <v>279</v>
      </c>
      <c r="H49" t="str">
        <f t="shared" si="0"/>
        <v>Costa Rica</v>
      </c>
      <c r="I49" t="str">
        <f>VLOOKUP(G49,$A$3:$D$192,3,FALSE)</f>
        <v>https://dsbb.imf.org/sdds/country/CRI/category</v>
      </c>
      <c r="J49" t="str">
        <f t="shared" si="1"/>
        <v>Special Data Dissemination Standard (SDDS)</v>
      </c>
    </row>
    <row r="50" spans="1:10">
      <c r="A50" t="s">
        <v>454</v>
      </c>
      <c r="B50" t="s">
        <v>453</v>
      </c>
      <c r="C50" t="s">
        <v>1092</v>
      </c>
      <c r="D50" t="s">
        <v>1073</v>
      </c>
      <c r="F50" t="s">
        <v>79</v>
      </c>
      <c r="G50" t="s">
        <v>80</v>
      </c>
      <c r="H50" t="str">
        <f t="shared" si="0"/>
        <v>Côte d’Ivoire</v>
      </c>
      <c r="I50" t="str">
        <f>VLOOKUP(G50,$A$3:$D$192,3,FALSE)</f>
        <v>https://dsbb.imf.org/egdds/country/CIV/category</v>
      </c>
      <c r="J50" t="str">
        <f t="shared" si="1"/>
        <v>Enhanced General Data Dissemination System (e-GDDS)</v>
      </c>
    </row>
    <row r="51" spans="1:10">
      <c r="A51" t="s">
        <v>462</v>
      </c>
      <c r="B51" t="s">
        <v>461</v>
      </c>
      <c r="C51" t="s">
        <v>1093</v>
      </c>
      <c r="D51" t="s">
        <v>1073</v>
      </c>
      <c r="F51" t="s">
        <v>289</v>
      </c>
      <c r="G51" t="s">
        <v>290</v>
      </c>
      <c r="H51" t="str">
        <f t="shared" si="0"/>
        <v>Croatia</v>
      </c>
      <c r="I51" t="str">
        <f>VLOOKUP(G51,$A$3:$D$192,3,FALSE)</f>
        <v>https://dsbb.imf.org/sdds/country/HRV/category</v>
      </c>
      <c r="J51" t="str">
        <f t="shared" si="1"/>
        <v>Special Data Dissemination Standard (SDDS)</v>
      </c>
    </row>
    <row r="52" spans="1:10">
      <c r="A52" t="s">
        <v>458</v>
      </c>
      <c r="B52" t="s">
        <v>457</v>
      </c>
      <c r="C52" t="s">
        <v>1094</v>
      </c>
      <c r="D52" t="s">
        <v>1073</v>
      </c>
      <c r="F52" s="4" t="s">
        <v>295</v>
      </c>
      <c r="G52" s="4" t="s">
        <v>296</v>
      </c>
      <c r="H52" s="4" t="e">
        <f t="shared" si="0"/>
        <v>#N/A</v>
      </c>
      <c r="I52" s="4" t="e">
        <f>VLOOKUP(G52,$A$3:$D$192,3,FALSE)</f>
        <v>#N/A</v>
      </c>
      <c r="J52" s="4" t="e">
        <f t="shared" si="1"/>
        <v>#N/A</v>
      </c>
    </row>
    <row r="53" spans="1:10">
      <c r="A53" t="s">
        <v>474</v>
      </c>
      <c r="B53" t="s">
        <v>473</v>
      </c>
      <c r="C53" t="s">
        <v>1095</v>
      </c>
      <c r="D53" t="s">
        <v>1073</v>
      </c>
      <c r="F53" s="4" t="s">
        <v>301</v>
      </c>
      <c r="G53" s="4" t="s">
        <v>302</v>
      </c>
      <c r="H53" s="4" t="e">
        <f t="shared" si="0"/>
        <v>#N/A</v>
      </c>
      <c r="I53" s="4" t="e">
        <f>VLOOKUP(G53,$A$3:$D$192,3,FALSE)</f>
        <v>#N/A</v>
      </c>
      <c r="J53" s="4" t="e">
        <f t="shared" si="1"/>
        <v>#N/A</v>
      </c>
    </row>
    <row r="54" spans="1:10">
      <c r="A54" t="s">
        <v>501</v>
      </c>
      <c r="B54" t="s">
        <v>500</v>
      </c>
      <c r="C54" t="s">
        <v>1096</v>
      </c>
      <c r="D54" t="s">
        <v>1073</v>
      </c>
      <c r="F54" t="s">
        <v>306</v>
      </c>
      <c r="G54" t="s">
        <v>307</v>
      </c>
      <c r="H54" t="str">
        <f t="shared" si="0"/>
        <v>Cyprus</v>
      </c>
      <c r="I54" t="str">
        <f>VLOOKUP(G54,$A$3:$D$192,3,FALSE)</f>
        <v>https://dsbb.imf.org/sdds/country/CYP/category</v>
      </c>
      <c r="J54" t="str">
        <f t="shared" si="1"/>
        <v>Special Data Dissemination Standard (SDDS)</v>
      </c>
    </row>
    <row r="55" spans="1:10">
      <c r="A55" t="s">
        <v>506</v>
      </c>
      <c r="B55" t="s">
        <v>505</v>
      </c>
      <c r="C55" t="s">
        <v>1097</v>
      </c>
      <c r="D55" t="s">
        <v>1073</v>
      </c>
      <c r="F55" t="s">
        <v>310</v>
      </c>
      <c r="G55" t="s">
        <v>311</v>
      </c>
      <c r="H55" t="str">
        <f t="shared" si="0"/>
        <v>Czech Republic</v>
      </c>
      <c r="I55" t="str">
        <f>VLOOKUP(G55,$A$3:$D$192,3,FALSE)</f>
        <v>https://dsbb.imf.org/sddsplus/country/CZE/category</v>
      </c>
      <c r="J55" t="str">
        <f t="shared" si="1"/>
        <v>Special Data Dissemination Standard Plus (SDDS Plus)</v>
      </c>
    </row>
    <row r="56" spans="1:10">
      <c r="A56" t="s">
        <v>543</v>
      </c>
      <c r="B56" t="s">
        <v>542</v>
      </c>
      <c r="C56" t="s">
        <v>1098</v>
      </c>
      <c r="D56" t="s">
        <v>1073</v>
      </c>
      <c r="F56" t="s">
        <v>313</v>
      </c>
      <c r="G56" t="s">
        <v>314</v>
      </c>
      <c r="H56" t="str">
        <f t="shared" si="0"/>
        <v>Denmark</v>
      </c>
      <c r="I56" t="str">
        <f>VLOOKUP(G56,$A$3:$D$192,3,FALSE)</f>
        <v>https://dsbb.imf.org/sddsplus/country/DNK/category</v>
      </c>
      <c r="J56" t="str">
        <f t="shared" si="1"/>
        <v>Special Data Dissemination Standard Plus (SDDS Plus)</v>
      </c>
    </row>
    <row r="57" spans="1:10">
      <c r="A57" t="s">
        <v>524</v>
      </c>
      <c r="B57" t="s">
        <v>1099</v>
      </c>
      <c r="C57" t="s">
        <v>1100</v>
      </c>
      <c r="D57" t="s">
        <v>1073</v>
      </c>
      <c r="F57" t="s">
        <v>86</v>
      </c>
      <c r="G57" t="s">
        <v>318</v>
      </c>
      <c r="H57" t="str">
        <f t="shared" si="0"/>
        <v>Djibouti</v>
      </c>
      <c r="I57" t="str">
        <f>VLOOKUP(G57,$A$3:$D$192,3,FALSE)</f>
        <v>https://dsbb.imf.org/egdds/country/DJI/category</v>
      </c>
      <c r="J57" t="str">
        <f t="shared" si="1"/>
        <v>Enhanced General Data Dissemination System (e-GDDS)</v>
      </c>
    </row>
    <row r="58" spans="1:10">
      <c r="A58" t="s">
        <v>600</v>
      </c>
      <c r="B58" t="s">
        <v>599</v>
      </c>
      <c r="C58" t="s">
        <v>1101</v>
      </c>
      <c r="D58" t="s">
        <v>1073</v>
      </c>
      <c r="F58" t="s">
        <v>321</v>
      </c>
      <c r="G58" t="s">
        <v>322</v>
      </c>
      <c r="H58" t="str">
        <f t="shared" si="0"/>
        <v>Dominica</v>
      </c>
      <c r="I58" t="str">
        <f>VLOOKUP(G58,$A$3:$D$192,3,FALSE)</f>
        <v>https://dsbb.imf.org/egdds/country/DMA/category</v>
      </c>
      <c r="J58" t="str">
        <f t="shared" si="1"/>
        <v>Enhanced General Data Dissemination System (e-GDDS)</v>
      </c>
    </row>
    <row r="59" spans="1:10">
      <c r="A59" t="s">
        <v>644</v>
      </c>
      <c r="B59" t="s">
        <v>1102</v>
      </c>
      <c r="C59" t="s">
        <v>1103</v>
      </c>
      <c r="D59" t="s">
        <v>1073</v>
      </c>
      <c r="F59" t="s">
        <v>325</v>
      </c>
      <c r="G59" t="s">
        <v>326</v>
      </c>
      <c r="H59" t="str">
        <f t="shared" si="0"/>
        <v>Dominican Republic</v>
      </c>
      <c r="I59" t="str">
        <f>VLOOKUP(G59,$A$3:$D$192,3,FALSE)</f>
        <v>https://dsbb.imf.org/egdds/country/DOM/category</v>
      </c>
      <c r="J59" t="str">
        <f t="shared" si="1"/>
        <v>Enhanced General Data Dissemination System (e-GDDS)</v>
      </c>
    </row>
    <row r="60" spans="1:10">
      <c r="A60" t="s">
        <v>628</v>
      </c>
      <c r="B60" t="s">
        <v>186</v>
      </c>
      <c r="C60" t="s">
        <v>1104</v>
      </c>
      <c r="D60" t="s">
        <v>1073</v>
      </c>
      <c r="F60" t="s">
        <v>328</v>
      </c>
      <c r="G60" t="s">
        <v>329</v>
      </c>
      <c r="H60" t="str">
        <f t="shared" si="0"/>
        <v>Ecuador</v>
      </c>
      <c r="I60" t="str">
        <f>VLOOKUP(G60,$A$3:$D$192,3,FALSE)</f>
        <v>https://dsbb.imf.org/sdds/country/ECU/category</v>
      </c>
      <c r="J60" t="str">
        <f t="shared" si="1"/>
        <v>Special Data Dissemination Standard (SDDS)</v>
      </c>
    </row>
    <row r="61" spans="1:10">
      <c r="A61" t="s">
        <v>652</v>
      </c>
      <c r="B61" t="s">
        <v>627</v>
      </c>
      <c r="C61" t="s">
        <v>1105</v>
      </c>
      <c r="D61" t="s">
        <v>1073</v>
      </c>
      <c r="F61" t="s">
        <v>93</v>
      </c>
      <c r="G61" t="s">
        <v>94</v>
      </c>
      <c r="H61" t="str">
        <f t="shared" si="0"/>
        <v>Egypt</v>
      </c>
      <c r="I61" t="str">
        <f>VLOOKUP(G61,$A$3:$D$192,3,FALSE)</f>
        <v>https://dsbb.imf.org/sdds/country/EGY/category</v>
      </c>
      <c r="J61" t="str">
        <f t="shared" si="1"/>
        <v>Special Data Dissemination Standard (SDDS)</v>
      </c>
    </row>
    <row r="62" spans="1:10">
      <c r="A62" t="s">
        <v>633</v>
      </c>
      <c r="B62" t="s">
        <v>391</v>
      </c>
      <c r="C62" t="s">
        <v>1106</v>
      </c>
      <c r="D62" t="s">
        <v>1073</v>
      </c>
      <c r="F62" t="s">
        <v>334</v>
      </c>
      <c r="G62" t="s">
        <v>335</v>
      </c>
      <c r="H62" t="str">
        <f t="shared" si="0"/>
        <v>El Salvador</v>
      </c>
      <c r="I62" t="str">
        <f>VLOOKUP(G62,$A$3:$D$192,3,FALSE)</f>
        <v>https://dsbb.imf.org/sdds/country/SLV/category</v>
      </c>
      <c r="J62" t="str">
        <f t="shared" si="1"/>
        <v>Special Data Dissemination Standard (SDDS)</v>
      </c>
    </row>
    <row r="63" spans="1:10">
      <c r="A63" t="s">
        <v>663</v>
      </c>
      <c r="B63" t="s">
        <v>192</v>
      </c>
      <c r="C63" t="s">
        <v>1107</v>
      </c>
      <c r="D63" t="s">
        <v>1073</v>
      </c>
      <c r="F63" t="s">
        <v>100</v>
      </c>
      <c r="G63" t="s">
        <v>338</v>
      </c>
      <c r="H63" t="str">
        <f t="shared" si="0"/>
        <v>Equatorial Guinea</v>
      </c>
      <c r="I63" t="str">
        <f>VLOOKUP(G63,$A$3:$D$192,3,FALSE)</f>
        <v>https://dsbb.imf.org/egdds/country/GNQ/category</v>
      </c>
      <c r="J63" t="str">
        <f t="shared" si="1"/>
        <v>Enhanced General Data Dissemination System (e-GDDS)</v>
      </c>
    </row>
    <row r="64" spans="1:10">
      <c r="A64" t="s">
        <v>678</v>
      </c>
      <c r="B64" t="s">
        <v>201</v>
      </c>
      <c r="C64" t="s">
        <v>1108</v>
      </c>
      <c r="D64" t="s">
        <v>1073</v>
      </c>
      <c r="F64" s="4" t="s">
        <v>342</v>
      </c>
      <c r="G64" s="4" t="s">
        <v>343</v>
      </c>
      <c r="H64" s="4" t="e">
        <f t="shared" si="0"/>
        <v>#N/A</v>
      </c>
      <c r="I64" s="4" t="e">
        <f>VLOOKUP(G64,$A$3:$D$192,3,FALSE)</f>
        <v>#N/A</v>
      </c>
      <c r="J64" s="4" t="e">
        <f t="shared" si="1"/>
        <v>#N/A</v>
      </c>
    </row>
    <row r="65" spans="1:10">
      <c r="A65" t="s">
        <v>744</v>
      </c>
      <c r="B65" t="s">
        <v>743</v>
      </c>
      <c r="C65" t="s">
        <v>1109</v>
      </c>
      <c r="D65" t="s">
        <v>1073</v>
      </c>
      <c r="F65" t="s">
        <v>346</v>
      </c>
      <c r="G65" t="s">
        <v>347</v>
      </c>
      <c r="H65" t="str">
        <f t="shared" si="0"/>
        <v>Estonia</v>
      </c>
      <c r="I65" t="str">
        <f>VLOOKUP(G65,$A$3:$D$192,3,FALSE)</f>
        <v>https://dsbb.imf.org/sddsplus/country/EST/category</v>
      </c>
      <c r="J65" t="str">
        <f t="shared" si="1"/>
        <v>Special Data Dissemination Standard Plus (SDDS Plus)</v>
      </c>
    </row>
    <row r="66" spans="1:10">
      <c r="A66" t="s">
        <v>769</v>
      </c>
      <c r="B66" t="s">
        <v>406</v>
      </c>
      <c r="C66" t="s">
        <v>1110</v>
      </c>
      <c r="D66" t="s">
        <v>1073</v>
      </c>
      <c r="F66" t="s">
        <v>266</v>
      </c>
      <c r="G66" t="s">
        <v>267</v>
      </c>
      <c r="H66" t="str">
        <f t="shared" si="0"/>
        <v>Eswatini, Kingdom of</v>
      </c>
      <c r="I66" t="str">
        <f>VLOOKUP(G66,$A$3:$D$192,3,FALSE)</f>
        <v>https://dsbb.imf.org/egdds/country/SWZ/category</v>
      </c>
      <c r="J66" t="str">
        <f t="shared" si="1"/>
        <v>Enhanced General Data Dissemination System (e-GDDS)</v>
      </c>
    </row>
    <row r="67" spans="1:10">
      <c r="A67" t="s">
        <v>776</v>
      </c>
      <c r="B67" t="s">
        <v>656</v>
      </c>
      <c r="C67" t="s">
        <v>1111</v>
      </c>
      <c r="D67" t="s">
        <v>1073</v>
      </c>
      <c r="F67" t="s">
        <v>106</v>
      </c>
      <c r="G67" t="s">
        <v>351</v>
      </c>
      <c r="H67" t="str">
        <f t="shared" si="0"/>
        <v>Ethiopia</v>
      </c>
      <c r="I67" t="str">
        <f>VLOOKUP(G67,$A$3:$D$192,3,FALSE)</f>
        <v>https://dsbb.imf.org/egdds/country/ETH/category</v>
      </c>
      <c r="J67" t="str">
        <f t="shared" si="1"/>
        <v>Enhanced General Data Dissemination System (e-GDDS)</v>
      </c>
    </row>
    <row r="68" spans="1:10">
      <c r="A68" t="s">
        <v>772</v>
      </c>
      <c r="B68" t="s">
        <v>411</v>
      </c>
      <c r="C68" t="s">
        <v>1112</v>
      </c>
      <c r="D68" t="s">
        <v>1073</v>
      </c>
      <c r="F68" s="4" t="s">
        <v>354</v>
      </c>
      <c r="G68" s="4" t="s">
        <v>355</v>
      </c>
      <c r="H68" s="4" t="e">
        <f t="shared" ref="H68:H131" si="2">VLOOKUP(G68,$A$3:$D$192,2,FALSE)</f>
        <v>#N/A</v>
      </c>
      <c r="I68" s="4" t="e">
        <f>VLOOKUP(G68,$A$3:$D$192,3,FALSE)</f>
        <v>#N/A</v>
      </c>
      <c r="J68" s="4" t="e">
        <f t="shared" ref="J68:J131" si="3">VLOOKUP(G68,$A$3:$D$192,4,FALSE)</f>
        <v>#N/A</v>
      </c>
    </row>
    <row r="69" spans="1:10">
      <c r="A69" t="s">
        <v>781</v>
      </c>
      <c r="B69" t="s">
        <v>780</v>
      </c>
      <c r="C69" t="s">
        <v>1113</v>
      </c>
      <c r="D69" t="s">
        <v>1073</v>
      </c>
      <c r="F69" t="s">
        <v>357</v>
      </c>
      <c r="G69" t="s">
        <v>358</v>
      </c>
      <c r="H69" t="str">
        <f t="shared" si="2"/>
        <v>Fiji</v>
      </c>
      <c r="I69" t="str">
        <f>VLOOKUP(G69,$A$3:$D$192,3,FALSE)</f>
        <v>https://dsbb.imf.org/egdds/country/FJI/category</v>
      </c>
      <c r="J69" t="str">
        <f t="shared" si="3"/>
        <v>Enhanced General Data Dissemination System (e-GDDS)</v>
      </c>
    </row>
    <row r="70" spans="1:10">
      <c r="A70" t="s">
        <v>806</v>
      </c>
      <c r="B70" t="s">
        <v>805</v>
      </c>
      <c r="C70" t="s">
        <v>1114</v>
      </c>
      <c r="D70" t="s">
        <v>1073</v>
      </c>
      <c r="F70" t="s">
        <v>361</v>
      </c>
      <c r="G70" t="s">
        <v>362</v>
      </c>
      <c r="H70" t="str">
        <f t="shared" si="2"/>
        <v>Finland</v>
      </c>
      <c r="I70" t="str">
        <f>VLOOKUP(G70,$A$3:$D$192,3,FALSE)</f>
        <v>https://dsbb.imf.org/sddsplus/country/FIN/category</v>
      </c>
      <c r="J70" t="str">
        <f t="shared" si="3"/>
        <v>Special Data Dissemination Standard Plus (SDDS Plus)</v>
      </c>
    </row>
    <row r="71" spans="1:10">
      <c r="A71" t="s">
        <v>826</v>
      </c>
      <c r="B71" t="s">
        <v>667</v>
      </c>
      <c r="C71" t="s">
        <v>1115</v>
      </c>
      <c r="D71" t="s">
        <v>1073</v>
      </c>
      <c r="F71" t="s">
        <v>365</v>
      </c>
      <c r="G71" t="s">
        <v>366</v>
      </c>
      <c r="H71" t="str">
        <f t="shared" si="2"/>
        <v>France</v>
      </c>
      <c r="I71" t="str">
        <f>VLOOKUP(G71,$A$3:$D$192,3,FALSE)</f>
        <v>https://dsbb.imf.org/sddsplus/country/FRA/category</v>
      </c>
      <c r="J71" t="str">
        <f t="shared" si="3"/>
        <v>Special Data Dissemination Standard Plus (SDDS Plus)</v>
      </c>
    </row>
    <row r="72" spans="1:10">
      <c r="A72" t="s">
        <v>847</v>
      </c>
      <c r="B72" t="s">
        <v>672</v>
      </c>
      <c r="C72" t="s">
        <v>1116</v>
      </c>
      <c r="D72" t="s">
        <v>1073</v>
      </c>
      <c r="F72" s="4" t="s">
        <v>369</v>
      </c>
      <c r="G72" s="4" t="s">
        <v>370</v>
      </c>
      <c r="H72" s="4" t="e">
        <f t="shared" si="2"/>
        <v>#N/A</v>
      </c>
      <c r="I72" s="4" t="e">
        <f>VLOOKUP(G72,$A$3:$D$192,3,FALSE)</f>
        <v>#N/A</v>
      </c>
      <c r="J72" s="4" t="e">
        <f t="shared" si="3"/>
        <v>#N/A</v>
      </c>
    </row>
    <row r="73" spans="1:10">
      <c r="A73" t="s">
        <v>830</v>
      </c>
      <c r="B73" t="s">
        <v>229</v>
      </c>
      <c r="C73" t="s">
        <v>1117</v>
      </c>
      <c r="D73" t="s">
        <v>1073</v>
      </c>
      <c r="F73" t="s">
        <v>112</v>
      </c>
      <c r="G73" t="s">
        <v>373</v>
      </c>
      <c r="H73" t="str">
        <f t="shared" si="2"/>
        <v>Gabon</v>
      </c>
      <c r="I73" t="str">
        <f>VLOOKUP(G73,$A$3:$D$192,3,FALSE)</f>
        <v>https://dsbb.imf.org/egdds/country/GAB/category</v>
      </c>
      <c r="J73" t="str">
        <f t="shared" si="3"/>
        <v>Enhanced General Data Dissemination System (e-GDDS)</v>
      </c>
    </row>
    <row r="74" spans="1:10">
      <c r="A74" t="s">
        <v>874</v>
      </c>
      <c r="B74" t="s">
        <v>244</v>
      </c>
      <c r="C74" t="s">
        <v>1118</v>
      </c>
      <c r="D74" t="s">
        <v>1073</v>
      </c>
      <c r="F74" t="s">
        <v>119</v>
      </c>
      <c r="G74" t="s">
        <v>120</v>
      </c>
      <c r="H74" t="str">
        <f t="shared" si="2"/>
        <v>Gambia, The</v>
      </c>
      <c r="I74" t="str">
        <f>VLOOKUP(G74,$A$3:$D$192,3,FALSE)</f>
        <v>https://dsbb.imf.org/egdds/country/GMB/category</v>
      </c>
      <c r="J74" t="str">
        <f t="shared" si="3"/>
        <v>Enhanced General Data Dissemination System (e-GDDS)</v>
      </c>
    </row>
    <row r="75" spans="1:10">
      <c r="A75" t="s">
        <v>839</v>
      </c>
      <c r="B75" t="s">
        <v>233</v>
      </c>
      <c r="C75" t="s">
        <v>1119</v>
      </c>
      <c r="D75" t="s">
        <v>1073</v>
      </c>
      <c r="F75" t="s">
        <v>380</v>
      </c>
      <c r="G75" t="s">
        <v>381</v>
      </c>
      <c r="H75" t="str">
        <f t="shared" si="2"/>
        <v>Georgia</v>
      </c>
      <c r="I75" t="str">
        <f>VLOOKUP(G75,$A$3:$D$192,3,FALSE)</f>
        <v>https://dsbb.imf.org/sdds/country/GEO/category</v>
      </c>
      <c r="J75" t="str">
        <f t="shared" si="3"/>
        <v>Special Data Dissemination Standard (SDDS)</v>
      </c>
    </row>
    <row r="76" spans="1:10">
      <c r="A76" t="s">
        <v>885</v>
      </c>
      <c r="B76" t="s">
        <v>677</v>
      </c>
      <c r="C76" t="s">
        <v>1120</v>
      </c>
      <c r="D76" t="s">
        <v>1073</v>
      </c>
      <c r="F76" t="s">
        <v>385</v>
      </c>
      <c r="G76" t="s">
        <v>386</v>
      </c>
      <c r="H76" t="str">
        <f t="shared" si="2"/>
        <v>Germany</v>
      </c>
      <c r="I76" t="str">
        <f>VLOOKUP(G76,$A$3:$D$192,3,FALSE)</f>
        <v>https://dsbb.imf.org/sddsplus/country/DEU/category</v>
      </c>
      <c r="J76" t="str">
        <f t="shared" si="3"/>
        <v>Special Data Dissemination Standard Plus (SDDS Plus)</v>
      </c>
    </row>
    <row r="77" spans="1:10">
      <c r="A77" t="s">
        <v>937</v>
      </c>
      <c r="B77" t="s">
        <v>699</v>
      </c>
      <c r="C77" t="s">
        <v>1121</v>
      </c>
      <c r="D77" t="s">
        <v>1073</v>
      </c>
      <c r="F77" t="s">
        <v>123</v>
      </c>
      <c r="G77" t="s">
        <v>390</v>
      </c>
      <c r="H77" t="str">
        <f t="shared" si="2"/>
        <v>Ghana</v>
      </c>
      <c r="I77" t="str">
        <f>VLOOKUP(G77,$A$3:$D$192,3,FALSE)</f>
        <v>https://dsbb.imf.org/egdds/country/GHA/category</v>
      </c>
      <c r="J77" t="str">
        <f t="shared" si="3"/>
        <v>Enhanced General Data Dissemination System (e-GDDS)</v>
      </c>
    </row>
    <row r="78" spans="1:10">
      <c r="A78" t="s">
        <v>715</v>
      </c>
      <c r="B78" t="s">
        <v>1122</v>
      </c>
      <c r="C78" t="s">
        <v>1123</v>
      </c>
      <c r="D78" t="s">
        <v>1073</v>
      </c>
      <c r="F78" s="4" t="s">
        <v>394</v>
      </c>
      <c r="G78" s="4" t="s">
        <v>395</v>
      </c>
      <c r="H78" s="4" t="e">
        <f t="shared" si="2"/>
        <v>#N/A</v>
      </c>
      <c r="I78" s="4" t="e">
        <f>VLOOKUP(G78,$A$3:$D$192,3,FALSE)</f>
        <v>#N/A</v>
      </c>
      <c r="J78" s="4" t="e">
        <f t="shared" si="3"/>
        <v>#N/A</v>
      </c>
    </row>
    <row r="79" spans="1:10">
      <c r="A79" t="s">
        <v>959</v>
      </c>
      <c r="B79" t="s">
        <v>277</v>
      </c>
      <c r="C79" t="s">
        <v>1124</v>
      </c>
      <c r="D79" t="s">
        <v>1073</v>
      </c>
      <c r="F79" t="s">
        <v>399</v>
      </c>
      <c r="G79" t="s">
        <v>400</v>
      </c>
      <c r="H79" t="str">
        <f t="shared" si="2"/>
        <v>Greece</v>
      </c>
      <c r="I79" t="str">
        <f>VLOOKUP(G79,$A$3:$D$192,3,FALSE)</f>
        <v>https://dsbb.imf.org/sdds/country/GRC/category</v>
      </c>
      <c r="J79" t="str">
        <f t="shared" si="3"/>
        <v>Special Data Dissemination Standard (SDDS)</v>
      </c>
    </row>
    <row r="80" spans="1:10">
      <c r="A80" t="s">
        <v>982</v>
      </c>
      <c r="B80" t="s">
        <v>941</v>
      </c>
      <c r="C80" t="s">
        <v>1125</v>
      </c>
      <c r="D80" t="s">
        <v>1073</v>
      </c>
      <c r="F80" s="4" t="s">
        <v>404</v>
      </c>
      <c r="G80" s="4" t="s">
        <v>405</v>
      </c>
      <c r="H80" s="4" t="e">
        <f t="shared" si="2"/>
        <v>#N/A</v>
      </c>
      <c r="I80" s="4" t="e">
        <f>VLOOKUP(G80,$A$3:$D$192,3,FALSE)</f>
        <v>#N/A</v>
      </c>
      <c r="J80" s="4" t="e">
        <f t="shared" si="3"/>
        <v>#N/A</v>
      </c>
    </row>
    <row r="81" spans="1:10">
      <c r="A81" t="s">
        <v>999</v>
      </c>
      <c r="B81" t="s">
        <v>439</v>
      </c>
      <c r="C81" t="s">
        <v>1126</v>
      </c>
      <c r="D81" t="s">
        <v>1073</v>
      </c>
      <c r="F81" t="s">
        <v>409</v>
      </c>
      <c r="G81" t="s">
        <v>410</v>
      </c>
      <c r="H81" t="str">
        <f t="shared" si="2"/>
        <v>Grenada</v>
      </c>
      <c r="I81" t="str">
        <f>VLOOKUP(G81,$A$3:$D$192,3,FALSE)</f>
        <v>https://dsbb.imf.org/egdds/country/GRD/category</v>
      </c>
      <c r="J81" t="str">
        <f t="shared" si="3"/>
        <v>Enhanced General Data Dissemination System (e-GDDS)</v>
      </c>
    </row>
    <row r="82" spans="1:10">
      <c r="A82" t="s">
        <v>1127</v>
      </c>
      <c r="B82" t="s">
        <v>1024</v>
      </c>
      <c r="C82" t="s">
        <v>1128</v>
      </c>
      <c r="D82" t="s">
        <v>1073</v>
      </c>
      <c r="F82" s="4" t="s">
        <v>414</v>
      </c>
      <c r="G82" s="4" t="s">
        <v>415</v>
      </c>
      <c r="H82" s="4" t="e">
        <f t="shared" si="2"/>
        <v>#N/A</v>
      </c>
      <c r="I82" s="4" t="e">
        <f>VLOOKUP(G82,$A$3:$D$192,3,FALSE)</f>
        <v>#N/A</v>
      </c>
      <c r="J82" s="4" t="e">
        <f t="shared" si="3"/>
        <v>#N/A</v>
      </c>
    </row>
    <row r="83" spans="1:10">
      <c r="A83" t="s">
        <v>15</v>
      </c>
      <c r="B83" t="s">
        <v>1129</v>
      </c>
      <c r="C83" t="s">
        <v>1130</v>
      </c>
      <c r="D83" t="s">
        <v>1131</v>
      </c>
      <c r="F83" t="s">
        <v>371</v>
      </c>
      <c r="G83" t="s">
        <v>421</v>
      </c>
      <c r="H83" t="str">
        <f t="shared" si="2"/>
        <v>Guatemala</v>
      </c>
      <c r="I83" t="str">
        <f>VLOOKUP(G83,$A$3:$D$192,3,FALSE)</f>
        <v>https://dsbb.imf.org/egdds/country/GTM/category</v>
      </c>
      <c r="J83" t="str">
        <f t="shared" si="3"/>
        <v>Enhanced General Data Dissemination System (e-GDDS)</v>
      </c>
    </row>
    <row r="84" spans="1:10">
      <c r="A84" t="s">
        <v>43</v>
      </c>
      <c r="B84" t="s">
        <v>19</v>
      </c>
      <c r="C84" t="s">
        <v>1132</v>
      </c>
      <c r="D84" t="s">
        <v>1131</v>
      </c>
      <c r="F84" t="s">
        <v>131</v>
      </c>
      <c r="G84" t="s">
        <v>426</v>
      </c>
      <c r="H84" t="str">
        <f t="shared" si="2"/>
        <v>Guinea</v>
      </c>
      <c r="I84" t="str">
        <f>VLOOKUP(G84,$A$3:$D$192,3,FALSE)</f>
        <v>https://dsbb.imf.org/egdds/country/GIN/category</v>
      </c>
      <c r="J84" t="str">
        <f t="shared" si="3"/>
        <v>Enhanced General Data Dissemination System (e-GDDS)</v>
      </c>
    </row>
    <row r="85" spans="1:10">
      <c r="A85" t="s">
        <v>21</v>
      </c>
      <c r="B85" t="s">
        <v>20</v>
      </c>
      <c r="C85" t="s">
        <v>1133</v>
      </c>
      <c r="D85" t="s">
        <v>1131</v>
      </c>
      <c r="F85" t="s">
        <v>137</v>
      </c>
      <c r="G85" t="s">
        <v>430</v>
      </c>
      <c r="H85" t="str">
        <f t="shared" si="2"/>
        <v>Guinea-Bissau</v>
      </c>
      <c r="I85" t="str">
        <f>VLOOKUP(G85,$A$3:$D$192,3,FALSE)</f>
        <v>https://dsbb.imf.org/egdds/country/GNB/category</v>
      </c>
      <c r="J85" t="str">
        <f t="shared" si="3"/>
        <v>Enhanced General Data Dissemination System (e-GDDS)</v>
      </c>
    </row>
    <row r="86" spans="1:10">
      <c r="A86" t="s">
        <v>48</v>
      </c>
      <c r="B86" t="s">
        <v>47</v>
      </c>
      <c r="C86" t="s">
        <v>1134</v>
      </c>
      <c r="D86" t="s">
        <v>1131</v>
      </c>
      <c r="F86" t="s">
        <v>374</v>
      </c>
      <c r="G86" t="s">
        <v>433</v>
      </c>
      <c r="H86" t="str">
        <f t="shared" si="2"/>
        <v>Guyana</v>
      </c>
      <c r="I86" t="str">
        <f>VLOOKUP(G86,$A$3:$D$192,3,FALSE)</f>
        <v>https://dsbb.imf.org/egdds/country/GUY/category</v>
      </c>
      <c r="J86" t="str">
        <f t="shared" si="3"/>
        <v>Enhanced General Data Dissemination System (e-GDDS)</v>
      </c>
    </row>
    <row r="87" spans="1:10">
      <c r="A87" t="s">
        <v>26</v>
      </c>
      <c r="B87" t="s">
        <v>13</v>
      </c>
      <c r="C87" t="s">
        <v>1135</v>
      </c>
      <c r="D87" t="s">
        <v>1131</v>
      </c>
      <c r="F87" t="s">
        <v>377</v>
      </c>
      <c r="G87" t="s">
        <v>438</v>
      </c>
      <c r="H87" t="str">
        <f t="shared" si="2"/>
        <v>Haiti</v>
      </c>
      <c r="I87" t="str">
        <f>VLOOKUP(G87,$A$3:$D$192,3,FALSE)</f>
        <v>https://dsbb.imf.org/egdds/country/HTI/category</v>
      </c>
      <c r="J87" t="str">
        <f t="shared" si="3"/>
        <v>Enhanced General Data Dissemination System (e-GDDS)</v>
      </c>
    </row>
    <row r="88" spans="1:10">
      <c r="A88" t="s">
        <v>66</v>
      </c>
      <c r="B88" t="s">
        <v>65</v>
      </c>
      <c r="C88" t="s">
        <v>1136</v>
      </c>
      <c r="D88" t="s">
        <v>1131</v>
      </c>
      <c r="F88" t="s">
        <v>382</v>
      </c>
      <c r="G88" t="s">
        <v>441</v>
      </c>
      <c r="H88" t="str">
        <f t="shared" si="2"/>
        <v>Honduras</v>
      </c>
      <c r="I88" t="str">
        <f>VLOOKUP(G88,$A$3:$D$192,3,FALSE)</f>
        <v>https://dsbb.imf.org/egdds/country/HND/category</v>
      </c>
      <c r="J88" t="str">
        <f t="shared" si="3"/>
        <v>Enhanced General Data Dissemination System (e-GDDS)</v>
      </c>
    </row>
    <row r="89" spans="1:10">
      <c r="A89" t="s">
        <v>38</v>
      </c>
      <c r="B89" t="s">
        <v>1137</v>
      </c>
      <c r="C89" t="s">
        <v>1138</v>
      </c>
      <c r="D89" t="s">
        <v>1131</v>
      </c>
      <c r="F89" t="s">
        <v>445</v>
      </c>
      <c r="G89" t="s">
        <v>446</v>
      </c>
      <c r="H89" t="str">
        <f t="shared" si="2"/>
        <v>China, P.R.: Hong Kong</v>
      </c>
      <c r="I89" t="str">
        <f>VLOOKUP(G89,$A$3:$D$192,3,FALSE)</f>
        <v>https://dsbb.imf.org/sdds/country/HKG/category</v>
      </c>
      <c r="J89" t="str">
        <f t="shared" si="3"/>
        <v>Special Data Dissemination Standard (SDDS)</v>
      </c>
    </row>
    <row r="90" spans="1:10">
      <c r="A90" t="s">
        <v>88</v>
      </c>
      <c r="B90" t="s">
        <v>87</v>
      </c>
      <c r="C90" t="s">
        <v>1139</v>
      </c>
      <c r="D90" t="s">
        <v>1131</v>
      </c>
      <c r="F90" t="s">
        <v>449</v>
      </c>
      <c r="G90" t="s">
        <v>450</v>
      </c>
      <c r="H90" t="str">
        <f t="shared" si="2"/>
        <v>Hungary</v>
      </c>
      <c r="I90" t="str">
        <f>VLOOKUP(G90,$A$3:$D$192,3,FALSE)</f>
        <v>https://dsbb.imf.org/sddsplus/country/HUN/category</v>
      </c>
      <c r="J90" t="str">
        <f t="shared" si="3"/>
        <v>Special Data Dissemination Standard Plus (SDDS Plus)</v>
      </c>
    </row>
    <row r="91" spans="1:10">
      <c r="A91" t="s">
        <v>96</v>
      </c>
      <c r="B91" t="s">
        <v>95</v>
      </c>
      <c r="C91" t="s">
        <v>1140</v>
      </c>
      <c r="D91" t="s">
        <v>1131</v>
      </c>
      <c r="F91" t="s">
        <v>453</v>
      </c>
      <c r="G91" t="s">
        <v>454</v>
      </c>
      <c r="H91" t="str">
        <f t="shared" si="2"/>
        <v>Iceland</v>
      </c>
      <c r="I91" t="str">
        <f>VLOOKUP(G91,$A$3:$D$192,3,FALSE)</f>
        <v>https://dsbb.imf.org/sdds/country/ISL/category</v>
      </c>
      <c r="J91" t="str">
        <f t="shared" si="3"/>
        <v>Special Data Dissemination Standard (SDDS)</v>
      </c>
    </row>
    <row r="92" spans="1:10">
      <c r="A92" t="s">
        <v>149</v>
      </c>
      <c r="B92" t="s">
        <v>148</v>
      </c>
      <c r="C92" t="s">
        <v>1141</v>
      </c>
      <c r="D92" t="s">
        <v>1131</v>
      </c>
      <c r="F92" t="s">
        <v>457</v>
      </c>
      <c r="G92" t="s">
        <v>458</v>
      </c>
      <c r="H92" t="str">
        <f t="shared" si="2"/>
        <v>India</v>
      </c>
      <c r="I92" t="str">
        <f>VLOOKUP(G92,$A$3:$D$192,3,FALSE)</f>
        <v>https://dsbb.imf.org/sdds/country/IND/category</v>
      </c>
      <c r="J92" t="str">
        <f t="shared" si="3"/>
        <v>Special Data Dissemination Standard (SDDS)</v>
      </c>
    </row>
    <row r="93" spans="1:10">
      <c r="A93" t="s">
        <v>102</v>
      </c>
      <c r="B93" t="s">
        <v>101</v>
      </c>
      <c r="C93" t="s">
        <v>1142</v>
      </c>
      <c r="D93" t="s">
        <v>1131</v>
      </c>
      <c r="F93" t="s">
        <v>461</v>
      </c>
      <c r="G93" t="s">
        <v>462</v>
      </c>
      <c r="H93" t="str">
        <f t="shared" si="2"/>
        <v>Indonesia</v>
      </c>
      <c r="I93" t="str">
        <f>VLOOKUP(G93,$A$3:$D$192,3,FALSE)</f>
        <v>https://dsbb.imf.org/sdds/country/IDN/category</v>
      </c>
      <c r="J93" t="str">
        <f t="shared" si="3"/>
        <v>Special Data Dissemination Standard (SDDS)</v>
      </c>
    </row>
    <row r="94" spans="1:10">
      <c r="A94" t="s">
        <v>155</v>
      </c>
      <c r="B94" t="s">
        <v>154</v>
      </c>
      <c r="C94" t="s">
        <v>1143</v>
      </c>
      <c r="D94" t="s">
        <v>1131</v>
      </c>
      <c r="F94" t="s">
        <v>465</v>
      </c>
      <c r="G94" t="s">
        <v>466</v>
      </c>
      <c r="H94" t="str">
        <f t="shared" si="2"/>
        <v>Iran</v>
      </c>
      <c r="I94" t="str">
        <f>VLOOKUP(G94,$A$3:$D$192,3,FALSE)</f>
        <v>https://dsbb.imf.org/egdds/country/IRN/category</v>
      </c>
      <c r="J94" t="str">
        <f t="shared" si="3"/>
        <v>Enhanced General Data Dissemination System (e-GDDS)</v>
      </c>
    </row>
    <row r="95" spans="1:10">
      <c r="A95" t="s">
        <v>108</v>
      </c>
      <c r="B95" t="s">
        <v>107</v>
      </c>
      <c r="C95" t="s">
        <v>1144</v>
      </c>
      <c r="D95" t="s">
        <v>1131</v>
      </c>
      <c r="F95" t="s">
        <v>469</v>
      </c>
      <c r="G95" t="s">
        <v>470</v>
      </c>
      <c r="H95" t="str">
        <f t="shared" si="2"/>
        <v>Iraq</v>
      </c>
      <c r="I95" t="str">
        <f>VLOOKUP(G95,$A$3:$D$192,3,FALSE)</f>
        <v>https://dsbb.imf.org/egdds/country/IRQ/category</v>
      </c>
      <c r="J95" t="str">
        <f t="shared" si="3"/>
        <v>Enhanced General Data Dissemination System (e-GDDS)</v>
      </c>
    </row>
    <row r="96" spans="1:10">
      <c r="A96" t="s">
        <v>164</v>
      </c>
      <c r="B96" t="s">
        <v>30</v>
      </c>
      <c r="C96" t="s">
        <v>1145</v>
      </c>
      <c r="D96" t="s">
        <v>1131</v>
      </c>
      <c r="F96" t="s">
        <v>473</v>
      </c>
      <c r="G96" t="s">
        <v>474</v>
      </c>
      <c r="H96" t="str">
        <f t="shared" si="2"/>
        <v>Ireland</v>
      </c>
      <c r="I96" t="str">
        <f>VLOOKUP(G96,$A$3:$D$192,3,FALSE)</f>
        <v>https://dsbb.imf.org/sdds/country/IRL/category</v>
      </c>
      <c r="J96" t="str">
        <f t="shared" si="3"/>
        <v>Special Data Dissemination Standard (SDDS)</v>
      </c>
    </row>
    <row r="97" spans="1:10">
      <c r="A97" t="s">
        <v>114</v>
      </c>
      <c r="B97" t="s">
        <v>113</v>
      </c>
      <c r="C97" t="s">
        <v>1146</v>
      </c>
      <c r="D97" t="s">
        <v>1131</v>
      </c>
      <c r="F97" s="4" t="s">
        <v>477</v>
      </c>
      <c r="G97" s="4" t="s">
        <v>478</v>
      </c>
      <c r="H97" s="4" t="e">
        <f t="shared" si="2"/>
        <v>#N/A</v>
      </c>
      <c r="I97" s="4" t="e">
        <f>VLOOKUP(G97,$A$3:$D$192,3,FALSE)</f>
        <v>#N/A</v>
      </c>
      <c r="J97" s="4" t="e">
        <f t="shared" si="3"/>
        <v>#N/A</v>
      </c>
    </row>
    <row r="98" spans="1:10">
      <c r="A98" t="s">
        <v>182</v>
      </c>
      <c r="B98" t="s">
        <v>181</v>
      </c>
      <c r="C98" t="s">
        <v>1147</v>
      </c>
      <c r="D98" t="s">
        <v>1131</v>
      </c>
      <c r="F98" t="s">
        <v>481</v>
      </c>
      <c r="G98" t="s">
        <v>482</v>
      </c>
      <c r="H98" t="str">
        <f t="shared" si="2"/>
        <v>Israel</v>
      </c>
      <c r="I98" t="str">
        <f>VLOOKUP(G98,$A$3:$D$192,3,FALSE)</f>
        <v>https://dsbb.imf.org/sddsplus/country/ISR/category</v>
      </c>
      <c r="J98" t="str">
        <f t="shared" si="3"/>
        <v>Special Data Dissemination Standard Plus (SDDS Plus)</v>
      </c>
    </row>
    <row r="99" spans="1:10">
      <c r="A99" t="s">
        <v>133</v>
      </c>
      <c r="B99" t="s">
        <v>132</v>
      </c>
      <c r="C99" t="s">
        <v>1148</v>
      </c>
      <c r="D99" t="s">
        <v>1131</v>
      </c>
      <c r="F99" t="s">
        <v>485</v>
      </c>
      <c r="G99" t="s">
        <v>486</v>
      </c>
      <c r="H99" t="str">
        <f t="shared" si="2"/>
        <v>Italy</v>
      </c>
      <c r="I99" t="str">
        <f>VLOOKUP(G99,$A$3:$D$192,3,FALSE)</f>
        <v>https://dsbb.imf.org/sddsplus/country/ITA/category</v>
      </c>
      <c r="J99" t="str">
        <f t="shared" si="3"/>
        <v>Special Data Dissemination Standard Plus (SDDS Plus)</v>
      </c>
    </row>
    <row r="100" spans="1:10">
      <c r="A100" t="s">
        <v>193</v>
      </c>
      <c r="B100" t="s">
        <v>36</v>
      </c>
      <c r="C100" t="s">
        <v>1149</v>
      </c>
      <c r="D100" t="s">
        <v>1131</v>
      </c>
      <c r="F100" t="s">
        <v>387</v>
      </c>
      <c r="G100" t="s">
        <v>491</v>
      </c>
      <c r="H100" t="str">
        <f t="shared" si="2"/>
        <v>Jamaica</v>
      </c>
      <c r="I100" t="str">
        <f>VLOOKUP(G100,$A$3:$D$192,3,FALSE)</f>
        <v>https://dsbb.imf.org/egdds/country/JAM/category</v>
      </c>
      <c r="J100" t="str">
        <f t="shared" si="3"/>
        <v>Enhanced General Data Dissemination System (e-GDDS)</v>
      </c>
    </row>
    <row r="101" spans="1:10">
      <c r="A101" t="s">
        <v>138</v>
      </c>
      <c r="B101" t="s">
        <v>25</v>
      </c>
      <c r="C101" t="s">
        <v>1150</v>
      </c>
      <c r="D101" t="s">
        <v>1131</v>
      </c>
      <c r="F101" t="s">
        <v>495</v>
      </c>
      <c r="G101" t="s">
        <v>496</v>
      </c>
      <c r="H101" t="str">
        <f t="shared" si="2"/>
        <v>Japan</v>
      </c>
      <c r="I101" t="str">
        <f>VLOOKUP(G101,$A$3:$D$192,3,FALSE)</f>
        <v>https://dsbb.imf.org/sddsplus/country/JPN/category</v>
      </c>
      <c r="J101" t="str">
        <f t="shared" si="3"/>
        <v>Special Data Dissemination Standard Plus (SDDS Plus)</v>
      </c>
    </row>
    <row r="102" spans="1:10">
      <c r="A102" t="s">
        <v>197</v>
      </c>
      <c r="B102" t="s">
        <v>42</v>
      </c>
      <c r="C102" t="s">
        <v>1151</v>
      </c>
      <c r="D102" t="s">
        <v>1131</v>
      </c>
      <c r="F102" t="s">
        <v>500</v>
      </c>
      <c r="G102" t="s">
        <v>501</v>
      </c>
      <c r="H102" t="str">
        <f t="shared" si="2"/>
        <v>Jordan</v>
      </c>
      <c r="I102" t="str">
        <f>VLOOKUP(G102,$A$3:$D$192,3,FALSE)</f>
        <v>https://dsbb.imf.org/sdds/country/JOR/category</v>
      </c>
      <c r="J102" t="str">
        <f t="shared" si="3"/>
        <v>Special Data Dissemination Standard (SDDS)</v>
      </c>
    </row>
    <row r="103" spans="1:10">
      <c r="A103" t="s">
        <v>202</v>
      </c>
      <c r="B103" t="s">
        <v>46</v>
      </c>
      <c r="C103" t="s">
        <v>1152</v>
      </c>
      <c r="D103" t="s">
        <v>1131</v>
      </c>
      <c r="F103" t="s">
        <v>505</v>
      </c>
      <c r="G103" t="s">
        <v>506</v>
      </c>
      <c r="H103" t="str">
        <f t="shared" si="2"/>
        <v>Kazakhstan</v>
      </c>
      <c r="I103" t="str">
        <f>VLOOKUP(G103,$A$3:$D$192,3,FALSE)</f>
        <v>https://dsbb.imf.org/sdds/country/KAZ/category</v>
      </c>
      <c r="J103" t="str">
        <f t="shared" si="3"/>
        <v>Special Data Dissemination Standard (SDDS)</v>
      </c>
    </row>
    <row r="104" spans="1:10">
      <c r="A104" t="s">
        <v>262</v>
      </c>
      <c r="B104" t="s">
        <v>261</v>
      </c>
      <c r="C104" t="s">
        <v>1153</v>
      </c>
      <c r="D104" t="s">
        <v>1131</v>
      </c>
      <c r="F104" t="s">
        <v>139</v>
      </c>
      <c r="G104" t="s">
        <v>509</v>
      </c>
      <c r="H104" t="str">
        <f t="shared" si="2"/>
        <v>Kenya</v>
      </c>
      <c r="I104" t="str">
        <f>VLOOKUP(G104,$A$3:$D$192,3,FALSE)</f>
        <v>https://dsbb.imf.org/egdds/country/KEN/category</v>
      </c>
      <c r="J104" t="str">
        <f t="shared" si="3"/>
        <v>Enhanced General Data Dissemination System (e-GDDS)</v>
      </c>
    </row>
    <row r="105" spans="1:10">
      <c r="A105" t="s">
        <v>207</v>
      </c>
      <c r="B105" t="s">
        <v>206</v>
      </c>
      <c r="C105" t="s">
        <v>1154</v>
      </c>
      <c r="D105" t="s">
        <v>1131</v>
      </c>
      <c r="F105" t="s">
        <v>513</v>
      </c>
      <c r="G105" t="s">
        <v>514</v>
      </c>
      <c r="H105" t="str">
        <f t="shared" si="2"/>
        <v>Kiribati</v>
      </c>
      <c r="I105" t="str">
        <f>VLOOKUP(G105,$A$3:$D$192,3,FALSE)</f>
        <v>https://dsbb.imf.org/egdds/country/KIR/category</v>
      </c>
      <c r="J105" t="str">
        <f t="shared" si="3"/>
        <v>Enhanced General Data Dissemination System (e-GDDS)</v>
      </c>
    </row>
    <row r="106" spans="1:10">
      <c r="A106" t="s">
        <v>269</v>
      </c>
      <c r="B106" t="s">
        <v>1155</v>
      </c>
      <c r="C106" t="s">
        <v>1156</v>
      </c>
      <c r="D106" t="s">
        <v>1131</v>
      </c>
      <c r="F106" s="4" t="s">
        <v>518</v>
      </c>
      <c r="G106" s="4" t="s">
        <v>519</v>
      </c>
      <c r="H106" s="4" t="e">
        <f t="shared" si="2"/>
        <v>#N/A</v>
      </c>
      <c r="I106" s="4" t="e">
        <f>VLOOKUP(G106,$A$3:$D$192,3,FALSE)</f>
        <v>#N/A</v>
      </c>
      <c r="J106" s="4" t="e">
        <f t="shared" si="3"/>
        <v>#N/A</v>
      </c>
    </row>
    <row r="107" spans="1:10">
      <c r="A107" t="s">
        <v>211</v>
      </c>
      <c r="B107" t="s">
        <v>52</v>
      </c>
      <c r="C107" t="s">
        <v>1157</v>
      </c>
      <c r="D107" t="s">
        <v>1131</v>
      </c>
      <c r="F107" t="s">
        <v>523</v>
      </c>
      <c r="G107" t="s">
        <v>524</v>
      </c>
      <c r="H107" t="str">
        <f t="shared" si="2"/>
        <v>Korea</v>
      </c>
      <c r="I107" t="str">
        <f>VLOOKUP(G107,$A$3:$D$192,3,FALSE)</f>
        <v>https://dsbb.imf.org/sdds/country/KOR/category</v>
      </c>
      <c r="J107" t="str">
        <f t="shared" si="3"/>
        <v>Special Data Dissemination Standard (SDDS)</v>
      </c>
    </row>
    <row r="108" spans="1:10">
      <c r="A108" t="s">
        <v>72</v>
      </c>
      <c r="B108" t="s">
        <v>1158</v>
      </c>
      <c r="C108" t="s">
        <v>1159</v>
      </c>
      <c r="D108" t="s">
        <v>1131</v>
      </c>
      <c r="F108" s="4" t="s">
        <v>528</v>
      </c>
      <c r="G108" s="4" t="s">
        <v>529</v>
      </c>
      <c r="H108" s="4" t="e">
        <f t="shared" si="2"/>
        <v>#N/A</v>
      </c>
      <c r="I108" s="4" t="e">
        <f>VLOOKUP(G108,$A$3:$D$192,3,FALSE)</f>
        <v>#N/A</v>
      </c>
      <c r="J108" s="4" t="e">
        <f t="shared" si="3"/>
        <v>#N/A</v>
      </c>
    </row>
    <row r="109" spans="1:10">
      <c r="A109" t="s">
        <v>230</v>
      </c>
      <c r="B109" t="s">
        <v>58</v>
      </c>
      <c r="C109" t="s">
        <v>1160</v>
      </c>
      <c r="D109" t="s">
        <v>1131</v>
      </c>
      <c r="F109" t="s">
        <v>534</v>
      </c>
      <c r="G109" t="s">
        <v>535</v>
      </c>
      <c r="H109" t="str">
        <f t="shared" si="2"/>
        <v>Kuwait</v>
      </c>
      <c r="I109" t="str">
        <f>VLOOKUP(G109,$A$3:$D$192,3,FALSE)</f>
        <v>https://dsbb.imf.org/egdds/country/KWT/category</v>
      </c>
      <c r="J109" t="str">
        <f t="shared" si="3"/>
        <v>Enhanced General Data Dissemination System (e-GDDS)</v>
      </c>
    </row>
    <row r="110" spans="1:10">
      <c r="A110" t="s">
        <v>1161</v>
      </c>
      <c r="B110" t="s">
        <v>958</v>
      </c>
      <c r="C110" t="s">
        <v>1162</v>
      </c>
      <c r="D110" t="s">
        <v>1131</v>
      </c>
      <c r="F110" t="s">
        <v>542</v>
      </c>
      <c r="G110" t="s">
        <v>543</v>
      </c>
      <c r="H110" t="str">
        <f t="shared" si="2"/>
        <v>Kyrgyz Republic</v>
      </c>
      <c r="I110" t="str">
        <f>VLOOKUP(G110,$A$3:$D$192,3,FALSE)</f>
        <v>https://dsbb.imf.org/sdds/country/KGZ/category</v>
      </c>
      <c r="J110" t="str">
        <f t="shared" si="3"/>
        <v>Special Data Dissemination Standard (SDDS)</v>
      </c>
    </row>
    <row r="111" spans="1:10">
      <c r="A111" t="s">
        <v>234</v>
      </c>
      <c r="B111" t="s">
        <v>64</v>
      </c>
      <c r="C111" t="s">
        <v>1163</v>
      </c>
      <c r="D111" t="s">
        <v>1131</v>
      </c>
      <c r="F111" t="s">
        <v>547</v>
      </c>
      <c r="G111" t="s">
        <v>548</v>
      </c>
      <c r="H111" t="str">
        <f t="shared" si="2"/>
        <v>Lao People’s Democratic Republic</v>
      </c>
      <c r="I111" t="str">
        <f>VLOOKUP(G111,$A$3:$D$192,3,FALSE)</f>
        <v>https://dsbb.imf.org/egdds/country/LAO/category</v>
      </c>
      <c r="J111" t="str">
        <f t="shared" si="3"/>
        <v>Enhanced General Data Dissemination System (e-GDDS)</v>
      </c>
    </row>
    <row r="112" spans="1:10">
      <c r="A112" t="s">
        <v>80</v>
      </c>
      <c r="B112" t="s">
        <v>79</v>
      </c>
      <c r="C112" t="s">
        <v>1164</v>
      </c>
      <c r="D112" t="s">
        <v>1131</v>
      </c>
      <c r="F112" t="s">
        <v>552</v>
      </c>
      <c r="G112" t="s">
        <v>553</v>
      </c>
      <c r="H112" t="str">
        <f t="shared" si="2"/>
        <v>Latvia</v>
      </c>
      <c r="I112" t="str">
        <f>VLOOKUP(G112,$A$3:$D$192,3,FALSE)</f>
        <v>https://dsbb.imf.org/sddsplus/country/LVA/category</v>
      </c>
      <c r="J112" t="str">
        <f t="shared" si="3"/>
        <v>Special Data Dissemination Standard Plus (SDDS Plus)</v>
      </c>
    </row>
    <row r="113" spans="1:10">
      <c r="A113" t="s">
        <v>318</v>
      </c>
      <c r="B113" t="s">
        <v>86</v>
      </c>
      <c r="C113" t="s">
        <v>1165</v>
      </c>
      <c r="D113" t="s">
        <v>1131</v>
      </c>
      <c r="F113" t="s">
        <v>557</v>
      </c>
      <c r="G113" t="s">
        <v>558</v>
      </c>
      <c r="H113" t="str">
        <f t="shared" si="2"/>
        <v>Lebanon</v>
      </c>
      <c r="I113" t="str">
        <f>VLOOKUP(G113,$A$3:$D$192,3,FALSE)</f>
        <v>https://dsbb.imf.org/egdds/country/LBN/category</v>
      </c>
      <c r="J113" t="str">
        <f t="shared" si="3"/>
        <v>Enhanced General Data Dissemination System (e-GDDS)</v>
      </c>
    </row>
    <row r="114" spans="1:10">
      <c r="A114" t="s">
        <v>326</v>
      </c>
      <c r="B114" t="s">
        <v>325</v>
      </c>
      <c r="C114" t="s">
        <v>1166</v>
      </c>
      <c r="D114" t="s">
        <v>1131</v>
      </c>
      <c r="F114" t="s">
        <v>147</v>
      </c>
      <c r="G114" t="s">
        <v>562</v>
      </c>
      <c r="H114" t="str">
        <f t="shared" si="2"/>
        <v>Lesotho</v>
      </c>
      <c r="I114" t="str">
        <f>VLOOKUP(G114,$A$3:$D$192,3,FALSE)</f>
        <v>https://dsbb.imf.org/egdds/country/LSO/category</v>
      </c>
      <c r="J114" t="str">
        <f t="shared" si="3"/>
        <v>Enhanced General Data Dissemination System (e-GDDS)</v>
      </c>
    </row>
    <row r="115" spans="1:10">
      <c r="A115" t="s">
        <v>322</v>
      </c>
      <c r="B115" t="s">
        <v>321</v>
      </c>
      <c r="C115" t="s">
        <v>1167</v>
      </c>
      <c r="D115" t="s">
        <v>1131</v>
      </c>
      <c r="F115" t="s">
        <v>153</v>
      </c>
      <c r="G115" t="s">
        <v>567</v>
      </c>
      <c r="H115" t="str">
        <f t="shared" si="2"/>
        <v>Liberia</v>
      </c>
      <c r="I115" t="str">
        <f>VLOOKUP(G115,$A$3:$D$192,3,FALSE)</f>
        <v>https://dsbb.imf.org/egdds/country/LBR/category</v>
      </c>
      <c r="J115" t="str">
        <f t="shared" si="3"/>
        <v>Enhanced General Data Dissemination System (e-GDDS)</v>
      </c>
    </row>
    <row r="116" spans="1:10">
      <c r="A116" t="s">
        <v>338</v>
      </c>
      <c r="B116" t="s">
        <v>100</v>
      </c>
      <c r="C116" t="s">
        <v>1168</v>
      </c>
      <c r="D116" t="s">
        <v>1131</v>
      </c>
      <c r="F116" t="s">
        <v>156</v>
      </c>
      <c r="G116" t="s">
        <v>571</v>
      </c>
      <c r="H116" t="str">
        <f t="shared" si="2"/>
        <v>Libya</v>
      </c>
      <c r="I116" t="str">
        <f>VLOOKUP(G116,$A$3:$D$192,3,FALSE)</f>
        <v>https://dsbb.imf.org/egdds/country/LBY/category</v>
      </c>
      <c r="J116" t="str">
        <f t="shared" si="3"/>
        <v>Enhanced General Data Dissemination System (e-GDDS)</v>
      </c>
    </row>
    <row r="117" spans="1:10">
      <c r="A117" t="s">
        <v>351</v>
      </c>
      <c r="B117" t="s">
        <v>106</v>
      </c>
      <c r="C117" t="s">
        <v>1169</v>
      </c>
      <c r="D117" t="s">
        <v>1131</v>
      </c>
      <c r="F117" s="4" t="s">
        <v>574</v>
      </c>
      <c r="G117" s="4" t="s">
        <v>575</v>
      </c>
      <c r="H117" s="4" t="e">
        <f t="shared" si="2"/>
        <v>#N/A</v>
      </c>
      <c r="I117" s="4" t="e">
        <f>VLOOKUP(G117,$A$3:$D$192,3,FALSE)</f>
        <v>#N/A</v>
      </c>
      <c r="J117" s="4" t="e">
        <f t="shared" si="3"/>
        <v>#N/A</v>
      </c>
    </row>
    <row r="118" spans="1:10">
      <c r="A118" t="s">
        <v>267</v>
      </c>
      <c r="B118" t="s">
        <v>1170</v>
      </c>
      <c r="C118" t="s">
        <v>1171</v>
      </c>
      <c r="D118" t="s">
        <v>1131</v>
      </c>
      <c r="F118" t="s">
        <v>578</v>
      </c>
      <c r="G118" t="s">
        <v>579</v>
      </c>
      <c r="H118" t="str">
        <f t="shared" si="2"/>
        <v>Lithuania</v>
      </c>
      <c r="I118" t="str">
        <f>VLOOKUP(G118,$A$3:$D$192,3,FALSE)</f>
        <v>https://dsbb.imf.org/sddsplus/country/LTU/category</v>
      </c>
      <c r="J118" t="str">
        <f t="shared" si="3"/>
        <v>Special Data Dissemination Standard Plus (SDDS Plus)</v>
      </c>
    </row>
    <row r="119" spans="1:10">
      <c r="A119" t="s">
        <v>358</v>
      </c>
      <c r="B119" t="s">
        <v>357</v>
      </c>
      <c r="C119" t="s">
        <v>1172</v>
      </c>
      <c r="D119" t="s">
        <v>1131</v>
      </c>
      <c r="F119" t="s">
        <v>582</v>
      </c>
      <c r="G119" t="s">
        <v>583</v>
      </c>
      <c r="H119" t="str">
        <f t="shared" si="2"/>
        <v>Luxembourg</v>
      </c>
      <c r="I119" t="str">
        <f>VLOOKUP(G119,$A$3:$D$192,3,FALSE)</f>
        <v>https://dsbb.imf.org/sddsplus/country/LUX/category</v>
      </c>
      <c r="J119" t="str">
        <f t="shared" si="3"/>
        <v>Special Data Dissemination Standard Plus (SDDS Plus)</v>
      </c>
    </row>
    <row r="120" spans="1:10">
      <c r="A120" t="s">
        <v>373</v>
      </c>
      <c r="B120" t="s">
        <v>112</v>
      </c>
      <c r="C120" t="s">
        <v>1173</v>
      </c>
      <c r="D120" t="s">
        <v>1131</v>
      </c>
      <c r="F120" t="s">
        <v>540</v>
      </c>
      <c r="G120" t="s">
        <v>541</v>
      </c>
      <c r="H120" t="str">
        <f t="shared" si="2"/>
        <v>Macao Special Administrative Region of the People's Republic of China</v>
      </c>
      <c r="I120" t="str">
        <f>VLOOKUP(G120,$A$3:$D$192,3,FALSE)</f>
        <v>https://dsbb.imf.org/egdds/country/MAC/category</v>
      </c>
      <c r="J120" t="str">
        <f t="shared" si="3"/>
        <v>Enhanced General Data Dissemination System (e-GDDS)</v>
      </c>
    </row>
    <row r="121" spans="1:10">
      <c r="A121" t="s">
        <v>421</v>
      </c>
      <c r="B121" t="s">
        <v>371</v>
      </c>
      <c r="C121" t="s">
        <v>1174</v>
      </c>
      <c r="D121" t="s">
        <v>1131</v>
      </c>
      <c r="F121" t="s">
        <v>163</v>
      </c>
      <c r="G121" t="s">
        <v>589</v>
      </c>
      <c r="H121" t="str">
        <f t="shared" si="2"/>
        <v>Madagascar</v>
      </c>
      <c r="I121" t="str">
        <f>VLOOKUP(G121,$A$3:$D$192,3,FALSE)</f>
        <v>https://dsbb.imf.org/egdds/country/MDG/category</v>
      </c>
      <c r="J121" t="str">
        <f t="shared" si="3"/>
        <v>Enhanced General Data Dissemination System (e-GDDS)</v>
      </c>
    </row>
    <row r="122" spans="1:10">
      <c r="A122" t="s">
        <v>120</v>
      </c>
      <c r="B122" t="s">
        <v>119</v>
      </c>
      <c r="C122" t="s">
        <v>1175</v>
      </c>
      <c r="D122" t="s">
        <v>1131</v>
      </c>
      <c r="F122" t="s">
        <v>168</v>
      </c>
      <c r="G122" t="s">
        <v>594</v>
      </c>
      <c r="H122" t="str">
        <f t="shared" si="2"/>
        <v>Malawi</v>
      </c>
      <c r="I122" t="str">
        <f>VLOOKUP(G122,$A$3:$D$192,3,FALSE)</f>
        <v>https://dsbb.imf.org/egdds/country/MWI/category</v>
      </c>
      <c r="J122" t="str">
        <f t="shared" si="3"/>
        <v>Enhanced General Data Dissemination System (e-GDDS)</v>
      </c>
    </row>
    <row r="123" spans="1:10">
      <c r="A123" t="s">
        <v>426</v>
      </c>
      <c r="B123" t="s">
        <v>131</v>
      </c>
      <c r="C123" t="s">
        <v>1176</v>
      </c>
      <c r="D123" t="s">
        <v>1131</v>
      </c>
      <c r="F123" t="s">
        <v>599</v>
      </c>
      <c r="G123" t="s">
        <v>600</v>
      </c>
      <c r="H123" t="str">
        <f t="shared" si="2"/>
        <v>Malaysia</v>
      </c>
      <c r="I123" t="str">
        <f>VLOOKUP(G123,$A$3:$D$192,3,FALSE)</f>
        <v>https://dsbb.imf.org/sdds/country/MYS/category</v>
      </c>
      <c r="J123" t="str">
        <f t="shared" si="3"/>
        <v>Special Data Dissemination Standard (SDDS)</v>
      </c>
    </row>
    <row r="124" spans="1:10">
      <c r="A124" t="s">
        <v>390</v>
      </c>
      <c r="B124" t="s">
        <v>123</v>
      </c>
      <c r="C124" t="s">
        <v>1177</v>
      </c>
      <c r="D124" t="s">
        <v>1131</v>
      </c>
      <c r="F124" t="s">
        <v>603</v>
      </c>
      <c r="G124" t="s">
        <v>604</v>
      </c>
      <c r="H124" t="str">
        <f t="shared" si="2"/>
        <v>Maldives</v>
      </c>
      <c r="I124" t="str">
        <f>VLOOKUP(G124,$A$3:$D$192,3,FALSE)</f>
        <v>https://dsbb.imf.org/egdds/country/MDV/category</v>
      </c>
      <c r="J124" t="str">
        <f t="shared" si="3"/>
        <v>Enhanced General Data Dissemination System (e-GDDS)</v>
      </c>
    </row>
    <row r="125" spans="1:10">
      <c r="A125" t="s">
        <v>430</v>
      </c>
      <c r="B125" t="s">
        <v>137</v>
      </c>
      <c r="C125" t="s">
        <v>1178</v>
      </c>
      <c r="D125" t="s">
        <v>1131</v>
      </c>
      <c r="F125" t="s">
        <v>174</v>
      </c>
      <c r="G125" t="s">
        <v>609</v>
      </c>
      <c r="H125" t="str">
        <f t="shared" si="2"/>
        <v>Mali</v>
      </c>
      <c r="I125" t="str">
        <f>VLOOKUP(G125,$A$3:$D$192,3,FALSE)</f>
        <v>https://dsbb.imf.org/egdds/country/MLI/category</v>
      </c>
      <c r="J125" t="str">
        <f t="shared" si="3"/>
        <v>Enhanced General Data Dissemination System (e-GDDS)</v>
      </c>
    </row>
    <row r="126" spans="1:10">
      <c r="A126" t="s">
        <v>410</v>
      </c>
      <c r="B126" t="s">
        <v>409</v>
      </c>
      <c r="C126" t="s">
        <v>1179</v>
      </c>
      <c r="D126" t="s">
        <v>1131</v>
      </c>
      <c r="F126" t="s">
        <v>613</v>
      </c>
      <c r="G126" t="s">
        <v>614</v>
      </c>
      <c r="H126" t="str">
        <f t="shared" si="2"/>
        <v>Malta</v>
      </c>
      <c r="I126" t="str">
        <f>VLOOKUP(G126,$A$3:$D$192,3,FALSE)</f>
        <v>https://dsbb.imf.org/sddsplus/country/MLT/category</v>
      </c>
      <c r="J126" t="str">
        <f t="shared" si="3"/>
        <v>Special Data Dissemination Standard Plus (SDDS Plus)</v>
      </c>
    </row>
    <row r="127" spans="1:10">
      <c r="A127" t="s">
        <v>433</v>
      </c>
      <c r="B127" t="s">
        <v>374</v>
      </c>
      <c r="C127" t="s">
        <v>1180</v>
      </c>
      <c r="D127" t="s">
        <v>1131</v>
      </c>
      <c r="F127" t="s">
        <v>618</v>
      </c>
      <c r="G127" t="s">
        <v>619</v>
      </c>
      <c r="H127" t="str">
        <f t="shared" si="2"/>
        <v>Marshall Islands</v>
      </c>
      <c r="I127" t="str">
        <f>VLOOKUP(G127,$A$3:$D$192,3,FALSE)</f>
        <v>https://dsbb.imf.org/egdds/country/MHL/category</v>
      </c>
      <c r="J127" t="str">
        <f t="shared" si="3"/>
        <v>Enhanced General Data Dissemination System (e-GDDS)</v>
      </c>
    </row>
    <row r="128" spans="1:10">
      <c r="A128" t="s">
        <v>438</v>
      </c>
      <c r="B128" t="s">
        <v>377</v>
      </c>
      <c r="C128" t="s">
        <v>1181</v>
      </c>
      <c r="D128" t="s">
        <v>1131</v>
      </c>
      <c r="F128" t="s">
        <v>180</v>
      </c>
      <c r="G128" t="s">
        <v>623</v>
      </c>
      <c r="H128" t="str">
        <f t="shared" si="2"/>
        <v>Mauritania</v>
      </c>
      <c r="I128" t="str">
        <f>VLOOKUP(G128,$A$3:$D$192,3,FALSE)</f>
        <v>https://dsbb.imf.org/egdds/country/MRT/category</v>
      </c>
      <c r="J128" t="str">
        <f t="shared" si="3"/>
        <v>Enhanced General Data Dissemination System (e-GDDS)</v>
      </c>
    </row>
    <row r="129" spans="1:10">
      <c r="A129" t="s">
        <v>441</v>
      </c>
      <c r="B129" t="s">
        <v>382</v>
      </c>
      <c r="C129" t="s">
        <v>1182</v>
      </c>
      <c r="D129" t="s">
        <v>1131</v>
      </c>
      <c r="F129" t="s">
        <v>186</v>
      </c>
      <c r="G129" t="s">
        <v>628</v>
      </c>
      <c r="H129" t="str">
        <f t="shared" si="2"/>
        <v>Mauritius</v>
      </c>
      <c r="I129" t="str">
        <f>VLOOKUP(G129,$A$3:$D$192,3,FALSE)</f>
        <v>https://dsbb.imf.org/sdds/country/MUS/category</v>
      </c>
      <c r="J129" t="str">
        <f t="shared" si="3"/>
        <v>Special Data Dissemination Standard (SDDS)</v>
      </c>
    </row>
    <row r="130" spans="1:10">
      <c r="A130" t="s">
        <v>466</v>
      </c>
      <c r="B130" t="s">
        <v>566</v>
      </c>
      <c r="C130" t="s">
        <v>1183</v>
      </c>
      <c r="D130" t="s">
        <v>1131</v>
      </c>
      <c r="F130" t="s">
        <v>391</v>
      </c>
      <c r="G130" t="s">
        <v>633</v>
      </c>
      <c r="H130" t="str">
        <f t="shared" si="2"/>
        <v>Mexico</v>
      </c>
      <c r="I130" t="str">
        <f>VLOOKUP(G130,$A$3:$D$192,3,FALSE)</f>
        <v>https://dsbb.imf.org/sdds/country/MEX/category</v>
      </c>
      <c r="J130" t="str">
        <f t="shared" si="3"/>
        <v>Special Data Dissemination Standard (SDDS)</v>
      </c>
    </row>
    <row r="131" spans="1:10">
      <c r="A131" t="s">
        <v>470</v>
      </c>
      <c r="B131" t="s">
        <v>469</v>
      </c>
      <c r="C131" t="s">
        <v>1184</v>
      </c>
      <c r="D131" t="s">
        <v>1131</v>
      </c>
      <c r="F131" t="s">
        <v>637</v>
      </c>
      <c r="G131" t="s">
        <v>638</v>
      </c>
      <c r="H131" t="str">
        <f t="shared" si="2"/>
        <v>Micronesia, Federated States of</v>
      </c>
      <c r="I131" t="str">
        <f>VLOOKUP(G131,$A$3:$D$192,3,FALSE)</f>
        <v>https://dsbb.imf.org/egdds/country/FSM/category</v>
      </c>
      <c r="J131" t="str">
        <f t="shared" si="3"/>
        <v>Enhanced General Data Dissemination System (e-GDDS)</v>
      </c>
    </row>
    <row r="132" spans="1:10">
      <c r="A132" t="s">
        <v>491</v>
      </c>
      <c r="B132" t="s">
        <v>387</v>
      </c>
      <c r="C132" t="s">
        <v>1185</v>
      </c>
      <c r="D132" t="s">
        <v>1131</v>
      </c>
      <c r="F132" t="s">
        <v>643</v>
      </c>
      <c r="G132" t="s">
        <v>644</v>
      </c>
      <c r="H132" t="str">
        <f t="shared" ref="H132:H195" si="4">VLOOKUP(G132,$A$3:$D$192,2,FALSE)</f>
        <v>Moldova, Republic of</v>
      </c>
      <c r="I132" t="str">
        <f>VLOOKUP(G132,$A$3:$D$192,3,FALSE)</f>
        <v>https://dsbb.imf.org/sdds/country/MDA/category</v>
      </c>
      <c r="J132" t="str">
        <f t="shared" ref="J132:J195" si="5">VLOOKUP(G132,$A$3:$D$192,4,FALSE)</f>
        <v>Special Data Dissemination Standard (SDDS)</v>
      </c>
    </row>
    <row r="133" spans="1:10">
      <c r="A133" t="s">
        <v>509</v>
      </c>
      <c r="B133" t="s">
        <v>139</v>
      </c>
      <c r="C133" t="s">
        <v>1186</v>
      </c>
      <c r="D133" t="s">
        <v>1131</v>
      </c>
      <c r="F133" s="4" t="s">
        <v>648</v>
      </c>
      <c r="G133" s="4" t="s">
        <v>649</v>
      </c>
      <c r="H133" s="4" t="e">
        <f t="shared" si="4"/>
        <v>#N/A</v>
      </c>
      <c r="I133" s="4" t="e">
        <f>VLOOKUP(G133,$A$3:$D$192,3,FALSE)</f>
        <v>#N/A</v>
      </c>
      <c r="J133" s="4" t="e">
        <f t="shared" si="5"/>
        <v>#N/A</v>
      </c>
    </row>
    <row r="134" spans="1:10">
      <c r="A134" t="s">
        <v>1187</v>
      </c>
      <c r="B134" t="s">
        <v>1188</v>
      </c>
      <c r="C134" t="s">
        <v>1189</v>
      </c>
      <c r="D134" t="s">
        <v>1131</v>
      </c>
      <c r="F134" t="s">
        <v>627</v>
      </c>
      <c r="G134" t="s">
        <v>652</v>
      </c>
      <c r="H134" t="str">
        <f t="shared" si="4"/>
        <v>Mongolia</v>
      </c>
      <c r="I134" t="str">
        <f>VLOOKUP(G134,$A$3:$D$192,3,FALSE)</f>
        <v>https://dsbb.imf.org/sdds/country/MNG/category</v>
      </c>
      <c r="J134" t="str">
        <f t="shared" si="5"/>
        <v>Special Data Dissemination Standard (SDDS)</v>
      </c>
    </row>
    <row r="135" spans="1:10">
      <c r="A135" t="s">
        <v>514</v>
      </c>
      <c r="B135" t="s">
        <v>513</v>
      </c>
      <c r="C135" t="s">
        <v>1190</v>
      </c>
      <c r="D135" t="s">
        <v>1131</v>
      </c>
      <c r="F135" t="s">
        <v>657</v>
      </c>
      <c r="G135" t="s">
        <v>658</v>
      </c>
      <c r="H135" t="str">
        <f t="shared" si="4"/>
        <v>Montenegro</v>
      </c>
      <c r="I135" t="str">
        <f>VLOOKUP(G135,$A$3:$D$192,3,FALSE)</f>
        <v>https://dsbb.imf.org/egdds/country/MNE/category</v>
      </c>
      <c r="J135" t="str">
        <f t="shared" si="5"/>
        <v>Enhanced General Data Dissemination System (e-GDDS)</v>
      </c>
    </row>
    <row r="136" spans="1:10">
      <c r="A136" t="s">
        <v>535</v>
      </c>
      <c r="B136" t="s">
        <v>534</v>
      </c>
      <c r="C136" t="s">
        <v>1191</v>
      </c>
      <c r="D136" t="s">
        <v>1131</v>
      </c>
      <c r="F136" t="s">
        <v>192</v>
      </c>
      <c r="G136" t="s">
        <v>663</v>
      </c>
      <c r="H136" t="str">
        <f t="shared" si="4"/>
        <v>Morocco</v>
      </c>
      <c r="I136" t="str">
        <f>VLOOKUP(G136,$A$3:$D$192,3,FALSE)</f>
        <v>https://dsbb.imf.org/sdds/country/MAR/category</v>
      </c>
      <c r="J136" t="str">
        <f t="shared" si="5"/>
        <v>Special Data Dissemination Standard (SDDS)</v>
      </c>
    </row>
    <row r="137" spans="1:10">
      <c r="A137" t="s">
        <v>548</v>
      </c>
      <c r="B137" t="s">
        <v>1192</v>
      </c>
      <c r="C137" t="s">
        <v>1193</v>
      </c>
      <c r="D137" t="s">
        <v>1131</v>
      </c>
      <c r="F137" t="s">
        <v>196</v>
      </c>
      <c r="G137" t="s">
        <v>668</v>
      </c>
      <c r="H137" t="str">
        <f t="shared" si="4"/>
        <v>Mozambique</v>
      </c>
      <c r="I137" t="str">
        <f>VLOOKUP(G137,$A$3:$D$192,3,FALSE)</f>
        <v>https://dsbb.imf.org/egdds/country/MOZ/category</v>
      </c>
      <c r="J137" t="str">
        <f t="shared" si="5"/>
        <v>Enhanced General Data Dissemination System (e-GDDS)</v>
      </c>
    </row>
    <row r="138" spans="1:10">
      <c r="A138" t="s">
        <v>567</v>
      </c>
      <c r="B138" t="s">
        <v>153</v>
      </c>
      <c r="C138" t="s">
        <v>1194</v>
      </c>
      <c r="D138" t="s">
        <v>1131</v>
      </c>
      <c r="F138" t="s">
        <v>632</v>
      </c>
      <c r="G138" t="s">
        <v>673</v>
      </c>
      <c r="H138" t="str">
        <f t="shared" si="4"/>
        <v>Myanmar</v>
      </c>
      <c r="I138" t="str">
        <f>VLOOKUP(G138,$A$3:$D$192,3,FALSE)</f>
        <v>https://dsbb.imf.org/egdds/country/MMR/category</v>
      </c>
      <c r="J138" t="str">
        <f t="shared" si="5"/>
        <v>Enhanced General Data Dissemination System (e-GDDS)</v>
      </c>
    </row>
    <row r="139" spans="1:10">
      <c r="A139" t="s">
        <v>558</v>
      </c>
      <c r="B139" t="s">
        <v>557</v>
      </c>
      <c r="C139" t="s">
        <v>1195</v>
      </c>
      <c r="D139" t="s">
        <v>1131</v>
      </c>
      <c r="F139" t="s">
        <v>201</v>
      </c>
      <c r="G139" t="s">
        <v>678</v>
      </c>
      <c r="H139" t="str">
        <f t="shared" si="4"/>
        <v>Namibia</v>
      </c>
      <c r="I139" t="str">
        <f>VLOOKUP(G139,$A$3:$D$192,3,FALSE)</f>
        <v>https://dsbb.imf.org/sdds/country/NAM/category</v>
      </c>
      <c r="J139" t="str">
        <f t="shared" si="5"/>
        <v>Special Data Dissemination Standard (SDDS)</v>
      </c>
    </row>
    <row r="140" spans="1:10">
      <c r="A140" t="s">
        <v>571</v>
      </c>
      <c r="B140" t="s">
        <v>156</v>
      </c>
      <c r="C140" t="s">
        <v>1196</v>
      </c>
      <c r="D140" t="s">
        <v>1131</v>
      </c>
      <c r="F140" s="4" t="s">
        <v>683</v>
      </c>
      <c r="G140" s="4" t="s">
        <v>684</v>
      </c>
      <c r="H140" s="4" t="e">
        <f t="shared" si="4"/>
        <v>#N/A</v>
      </c>
      <c r="I140" s="4" t="e">
        <f>VLOOKUP(G140,$A$3:$D$192,3,FALSE)</f>
        <v>#N/A</v>
      </c>
      <c r="J140" s="4" t="e">
        <f t="shared" si="5"/>
        <v>#N/A</v>
      </c>
    </row>
    <row r="141" spans="1:10">
      <c r="A141" t="s">
        <v>562</v>
      </c>
      <c r="B141" t="s">
        <v>147</v>
      </c>
      <c r="C141" t="s">
        <v>1197</v>
      </c>
      <c r="D141" t="s">
        <v>1131</v>
      </c>
      <c r="F141" t="s">
        <v>636</v>
      </c>
      <c r="G141" t="s">
        <v>690</v>
      </c>
      <c r="H141" t="str">
        <f t="shared" si="4"/>
        <v>Nepal</v>
      </c>
      <c r="I141" t="str">
        <f>VLOOKUP(G141,$A$3:$D$192,3,FALSE)</f>
        <v>https://dsbb.imf.org/egdds/country/NPL/category</v>
      </c>
      <c r="J141" t="str">
        <f t="shared" si="5"/>
        <v>Enhanced General Data Dissemination System (e-GDDS)</v>
      </c>
    </row>
    <row r="142" spans="1:10">
      <c r="A142" t="s">
        <v>541</v>
      </c>
      <c r="B142" t="s">
        <v>1198</v>
      </c>
      <c r="C142" t="s">
        <v>1199</v>
      </c>
      <c r="D142" t="s">
        <v>1131</v>
      </c>
      <c r="F142" t="s">
        <v>695</v>
      </c>
      <c r="G142" t="s">
        <v>696</v>
      </c>
      <c r="H142" t="str">
        <f t="shared" si="4"/>
        <v>Netherlands</v>
      </c>
      <c r="I142" t="str">
        <f>VLOOKUP(G142,$A$3:$D$192,3,FALSE)</f>
        <v>https://dsbb.imf.org/sddsplus/country/NLD/category</v>
      </c>
      <c r="J142" t="str">
        <f t="shared" si="5"/>
        <v>Special Data Dissemination Standard Plus (SDDS Plus)</v>
      </c>
    </row>
    <row r="143" spans="1:10">
      <c r="A143" t="s">
        <v>623</v>
      </c>
      <c r="B143" t="s">
        <v>180</v>
      </c>
      <c r="C143" t="s">
        <v>1200</v>
      </c>
      <c r="D143" t="s">
        <v>1131</v>
      </c>
      <c r="F143" s="4" t="s">
        <v>700</v>
      </c>
      <c r="G143" s="4" t="s">
        <v>701</v>
      </c>
      <c r="H143" s="4" t="e">
        <f t="shared" si="4"/>
        <v>#N/A</v>
      </c>
      <c r="I143" s="4" t="e">
        <f>VLOOKUP(G143,$A$3:$D$192,3,FALSE)</f>
        <v>#N/A</v>
      </c>
      <c r="J143" s="4" t="e">
        <f t="shared" si="5"/>
        <v>#N/A</v>
      </c>
    </row>
    <row r="144" spans="1:10">
      <c r="A144" t="s">
        <v>589</v>
      </c>
      <c r="B144" t="s">
        <v>163</v>
      </c>
      <c r="C144" t="s">
        <v>1201</v>
      </c>
      <c r="D144" t="s">
        <v>1131</v>
      </c>
      <c r="F144" s="4" t="s">
        <v>708</v>
      </c>
      <c r="G144" s="4" t="s">
        <v>709</v>
      </c>
      <c r="H144" s="4" t="e">
        <f t="shared" si="4"/>
        <v>#N/A</v>
      </c>
      <c r="I144" s="4" t="e">
        <f>VLOOKUP(G144,$A$3:$D$192,3,FALSE)</f>
        <v>#N/A</v>
      </c>
      <c r="J144" s="4" t="e">
        <f t="shared" si="5"/>
        <v>#N/A</v>
      </c>
    </row>
    <row r="145" spans="1:10">
      <c r="A145" t="s">
        <v>638</v>
      </c>
      <c r="B145" t="s">
        <v>974</v>
      </c>
      <c r="C145" t="s">
        <v>1202</v>
      </c>
      <c r="D145" t="s">
        <v>1131</v>
      </c>
      <c r="F145" t="s">
        <v>396</v>
      </c>
      <c r="G145" t="s">
        <v>716</v>
      </c>
      <c r="H145" t="str">
        <f t="shared" si="4"/>
        <v>Nicaragua</v>
      </c>
      <c r="I145" t="str">
        <f>VLOOKUP(G145,$A$3:$D$192,3,FALSE)</f>
        <v>https://dsbb.imf.org/egdds/country/NIC/category</v>
      </c>
      <c r="J145" t="str">
        <f t="shared" si="5"/>
        <v>Enhanced General Data Dissemination System (e-GDDS)</v>
      </c>
    </row>
    <row r="146" spans="1:10">
      <c r="A146" t="s">
        <v>594</v>
      </c>
      <c r="B146" t="s">
        <v>168</v>
      </c>
      <c r="C146" t="s">
        <v>1203</v>
      </c>
      <c r="D146" t="s">
        <v>1131</v>
      </c>
      <c r="F146" t="s">
        <v>205</v>
      </c>
      <c r="G146" t="s">
        <v>721</v>
      </c>
      <c r="H146" t="str">
        <f t="shared" si="4"/>
        <v>Niger</v>
      </c>
      <c r="I146" t="str">
        <f>VLOOKUP(G146,$A$3:$D$192,3,FALSE)</f>
        <v>https://dsbb.imf.org/egdds/country/NER/category</v>
      </c>
      <c r="J146" t="str">
        <f t="shared" si="5"/>
        <v>Enhanced General Data Dissemination System (e-GDDS)</v>
      </c>
    </row>
    <row r="147" spans="1:10">
      <c r="A147" t="s">
        <v>658</v>
      </c>
      <c r="B147" t="s">
        <v>657</v>
      </c>
      <c r="C147" t="s">
        <v>1204</v>
      </c>
      <c r="D147" t="s">
        <v>1131</v>
      </c>
      <c r="F147" t="s">
        <v>210</v>
      </c>
      <c r="G147" t="s">
        <v>726</v>
      </c>
      <c r="H147" t="str">
        <f t="shared" si="4"/>
        <v>Nigeria</v>
      </c>
      <c r="I147" t="str">
        <f>VLOOKUP(G147,$A$3:$D$192,3,FALSE)</f>
        <v>https://dsbb.imf.org/egdds/country/NGA/category</v>
      </c>
      <c r="J147" t="str">
        <f t="shared" si="5"/>
        <v>Enhanced General Data Dissemination System (e-GDDS)</v>
      </c>
    </row>
    <row r="148" spans="1:10">
      <c r="A148" t="s">
        <v>604</v>
      </c>
      <c r="B148" t="s">
        <v>603</v>
      </c>
      <c r="C148" t="s">
        <v>1205</v>
      </c>
      <c r="D148" t="s">
        <v>1131</v>
      </c>
      <c r="F148" t="s">
        <v>733</v>
      </c>
      <c r="G148" t="s">
        <v>734</v>
      </c>
      <c r="H148" t="str">
        <f t="shared" si="4"/>
        <v>North Macedonia, Republic of</v>
      </c>
      <c r="I148" t="str">
        <f>VLOOKUP(G148,$A$3:$D$192,3,FALSE)</f>
        <v>https://dsbb.imf.org/sddsplus/country/MKD/category</v>
      </c>
      <c r="J148" t="str">
        <f t="shared" si="5"/>
        <v>Special Data Dissemination Standard Plus (SDDS Plus)</v>
      </c>
    </row>
    <row r="149" spans="1:10">
      <c r="A149" t="s">
        <v>668</v>
      </c>
      <c r="B149" t="s">
        <v>196</v>
      </c>
      <c r="C149" t="s">
        <v>1206</v>
      </c>
      <c r="D149" t="s">
        <v>1131</v>
      </c>
      <c r="F149" s="4" t="s">
        <v>739</v>
      </c>
      <c r="G149" s="4" t="s">
        <v>740</v>
      </c>
      <c r="H149" s="4" t="e">
        <f t="shared" si="4"/>
        <v>#N/A</v>
      </c>
      <c r="I149" s="4" t="e">
        <f>VLOOKUP(G149,$A$3:$D$192,3,FALSE)</f>
        <v>#N/A</v>
      </c>
      <c r="J149" s="4" t="e">
        <f t="shared" si="5"/>
        <v>#N/A</v>
      </c>
    </row>
    <row r="150" spans="1:10">
      <c r="A150" t="s">
        <v>609</v>
      </c>
      <c r="B150" t="s">
        <v>174</v>
      </c>
      <c r="C150" t="s">
        <v>1207</v>
      </c>
      <c r="D150" t="s">
        <v>1131</v>
      </c>
      <c r="F150" t="s">
        <v>743</v>
      </c>
      <c r="G150" t="s">
        <v>744</v>
      </c>
      <c r="H150" t="str">
        <f t="shared" si="4"/>
        <v>Norway</v>
      </c>
      <c r="I150" t="str">
        <f>VLOOKUP(G150,$A$3:$D$192,3,FALSE)</f>
        <v>https://dsbb.imf.org/sdds/country/NOR/category</v>
      </c>
      <c r="J150" t="str">
        <f t="shared" si="5"/>
        <v>Special Data Dissemination Standard (SDDS)</v>
      </c>
    </row>
    <row r="151" spans="1:10">
      <c r="A151" t="s">
        <v>673</v>
      </c>
      <c r="B151" t="s">
        <v>632</v>
      </c>
      <c r="C151" t="s">
        <v>1208</v>
      </c>
      <c r="D151" t="s">
        <v>1131</v>
      </c>
      <c r="F151" t="s">
        <v>642</v>
      </c>
      <c r="G151" t="s">
        <v>748</v>
      </c>
      <c r="H151" t="str">
        <f t="shared" si="4"/>
        <v>Oman</v>
      </c>
      <c r="I151" t="str">
        <f>VLOOKUP(G151,$A$3:$D$192,3,FALSE)</f>
        <v>https://dsbb.imf.org/egdds/country/OMN/category</v>
      </c>
      <c r="J151" t="str">
        <f t="shared" si="5"/>
        <v>Enhanced General Data Dissemination System (e-GDDS)</v>
      </c>
    </row>
    <row r="152" spans="1:10">
      <c r="A152" t="s">
        <v>619</v>
      </c>
      <c r="B152" t="s">
        <v>618</v>
      </c>
      <c r="C152" t="s">
        <v>1209</v>
      </c>
      <c r="D152" t="s">
        <v>1131</v>
      </c>
      <c r="F152" t="s">
        <v>645</v>
      </c>
      <c r="G152" t="s">
        <v>752</v>
      </c>
      <c r="H152" t="str">
        <f t="shared" si="4"/>
        <v>Pakistan</v>
      </c>
      <c r="I152" t="str">
        <f>VLOOKUP(G152,$A$3:$D$192,3,FALSE)</f>
        <v>https://dsbb.imf.org/egdds/country/PAK/category</v>
      </c>
      <c r="J152" t="str">
        <f t="shared" si="5"/>
        <v>Enhanced General Data Dissemination System (e-GDDS)</v>
      </c>
    </row>
    <row r="153" spans="1:10">
      <c r="A153" t="s">
        <v>690</v>
      </c>
      <c r="B153" t="s">
        <v>636</v>
      </c>
      <c r="C153" t="s">
        <v>1210</v>
      </c>
      <c r="D153" t="s">
        <v>1131</v>
      </c>
      <c r="F153" t="s">
        <v>756</v>
      </c>
      <c r="G153" t="s">
        <v>757</v>
      </c>
      <c r="H153" t="str">
        <f t="shared" si="4"/>
        <v>Palau</v>
      </c>
      <c r="I153" t="str">
        <f>VLOOKUP(G153,$A$3:$D$192,3,FALSE)</f>
        <v>https://dsbb.imf.org/egdds/country/PLW/category</v>
      </c>
      <c r="J153" t="str">
        <f t="shared" si="5"/>
        <v>Enhanced General Data Dissemination System (e-GDDS)</v>
      </c>
    </row>
    <row r="154" spans="1:10">
      <c r="A154" t="s">
        <v>721</v>
      </c>
      <c r="B154" t="s">
        <v>205</v>
      </c>
      <c r="C154" t="s">
        <v>1211</v>
      </c>
      <c r="D154" t="s">
        <v>1131</v>
      </c>
      <c r="F154" t="s">
        <v>401</v>
      </c>
      <c r="G154" t="s">
        <v>761</v>
      </c>
      <c r="H154" t="str">
        <f t="shared" si="4"/>
        <v>Panama</v>
      </c>
      <c r="I154" t="str">
        <f>VLOOKUP(G154,$A$3:$D$192,3,FALSE)</f>
        <v>https://dsbb.imf.org/egdds/country/PAN/category</v>
      </c>
      <c r="J154" t="str">
        <f t="shared" si="5"/>
        <v>Enhanced General Data Dissemination System (e-GDDS)</v>
      </c>
    </row>
    <row r="155" spans="1:10">
      <c r="A155" t="s">
        <v>716</v>
      </c>
      <c r="B155" t="s">
        <v>396</v>
      </c>
      <c r="C155" t="s">
        <v>1212</v>
      </c>
      <c r="D155" t="s">
        <v>1131</v>
      </c>
      <c r="F155" t="s">
        <v>765</v>
      </c>
      <c r="G155" t="s">
        <v>766</v>
      </c>
      <c r="H155" t="str">
        <f t="shared" si="4"/>
        <v>Papua New Guinea</v>
      </c>
      <c r="I155" t="str">
        <f>VLOOKUP(G155,$A$3:$D$192,3,FALSE)</f>
        <v>https://dsbb.imf.org/egdds/country/PNG/category</v>
      </c>
      <c r="J155" t="str">
        <f t="shared" si="5"/>
        <v>Enhanced General Data Dissemination System (e-GDDS)</v>
      </c>
    </row>
    <row r="156" spans="1:10">
      <c r="A156" t="s">
        <v>726</v>
      </c>
      <c r="B156" t="s">
        <v>210</v>
      </c>
      <c r="C156" t="s">
        <v>1213</v>
      </c>
      <c r="D156" t="s">
        <v>1131</v>
      </c>
      <c r="F156" t="s">
        <v>406</v>
      </c>
      <c r="G156" t="s">
        <v>769</v>
      </c>
      <c r="H156" t="str">
        <f t="shared" si="4"/>
        <v>Paraguay</v>
      </c>
      <c r="I156" t="str">
        <f>VLOOKUP(G156,$A$3:$D$192,3,FALSE)</f>
        <v>https://dsbb.imf.org/sdds/country/PRY/category</v>
      </c>
      <c r="J156" t="str">
        <f t="shared" si="5"/>
        <v>Special Data Dissemination Standard (SDDS)</v>
      </c>
    </row>
    <row r="157" spans="1:10">
      <c r="A157" t="s">
        <v>748</v>
      </c>
      <c r="B157" t="s">
        <v>642</v>
      </c>
      <c r="C157" t="s">
        <v>1214</v>
      </c>
      <c r="D157" t="s">
        <v>1131</v>
      </c>
      <c r="F157" t="s">
        <v>411</v>
      </c>
      <c r="G157" t="s">
        <v>772</v>
      </c>
      <c r="H157" t="str">
        <f t="shared" si="4"/>
        <v>Peru</v>
      </c>
      <c r="I157" t="str">
        <f>VLOOKUP(G157,$A$3:$D$192,3,FALSE)</f>
        <v>https://dsbb.imf.org/sdds/country/PER/category</v>
      </c>
      <c r="J157" t="str">
        <f t="shared" si="5"/>
        <v>Special Data Dissemination Standard (SDDS)</v>
      </c>
    </row>
    <row r="158" spans="1:10">
      <c r="A158" t="s">
        <v>752</v>
      </c>
      <c r="B158" t="s">
        <v>645</v>
      </c>
      <c r="C158" t="s">
        <v>1215</v>
      </c>
      <c r="D158" t="s">
        <v>1131</v>
      </c>
      <c r="F158" t="s">
        <v>656</v>
      </c>
      <c r="G158" t="s">
        <v>776</v>
      </c>
      <c r="H158" t="str">
        <f t="shared" si="4"/>
        <v>Philippines</v>
      </c>
      <c r="I158" t="str">
        <f>VLOOKUP(G158,$A$3:$D$192,3,FALSE)</f>
        <v>https://dsbb.imf.org/sdds/country/PHL/category</v>
      </c>
      <c r="J158" t="str">
        <f t="shared" si="5"/>
        <v>Special Data Dissemination Standard (SDDS)</v>
      </c>
    </row>
    <row r="159" spans="1:10">
      <c r="A159" t="s">
        <v>761</v>
      </c>
      <c r="B159" t="s">
        <v>401</v>
      </c>
      <c r="C159" t="s">
        <v>1216</v>
      </c>
      <c r="D159" t="s">
        <v>1131</v>
      </c>
      <c r="F159" t="s">
        <v>780</v>
      </c>
      <c r="G159" t="s">
        <v>781</v>
      </c>
      <c r="H159" t="str">
        <f t="shared" si="4"/>
        <v>Poland</v>
      </c>
      <c r="I159" t="str">
        <f>VLOOKUP(G159,$A$3:$D$192,3,FALSE)</f>
        <v>https://dsbb.imf.org/sdds/country/POL/category</v>
      </c>
      <c r="J159" t="str">
        <f t="shared" si="5"/>
        <v>Special Data Dissemination Standard (SDDS)</v>
      </c>
    </row>
    <row r="160" spans="1:10">
      <c r="A160" t="s">
        <v>757</v>
      </c>
      <c r="B160" t="s">
        <v>756</v>
      </c>
      <c r="C160" t="s">
        <v>1217</v>
      </c>
      <c r="D160" t="s">
        <v>1131</v>
      </c>
      <c r="F160" t="s">
        <v>786</v>
      </c>
      <c r="G160" t="s">
        <v>787</v>
      </c>
      <c r="H160" t="str">
        <f t="shared" si="4"/>
        <v>Portugal</v>
      </c>
      <c r="I160" t="str">
        <f>VLOOKUP(G160,$A$3:$D$192,3,FALSE)</f>
        <v>https://dsbb.imf.org/sddsplus/country/PRT/category</v>
      </c>
      <c r="J160" t="str">
        <f t="shared" si="5"/>
        <v>Special Data Dissemination Standard Plus (SDDS Plus)</v>
      </c>
    </row>
    <row r="161" spans="1:10">
      <c r="A161" t="s">
        <v>766</v>
      </c>
      <c r="B161" t="s">
        <v>765</v>
      </c>
      <c r="C161" t="s">
        <v>1218</v>
      </c>
      <c r="D161" t="s">
        <v>1131</v>
      </c>
      <c r="F161" s="4" t="s">
        <v>791</v>
      </c>
      <c r="G161" s="4" t="s">
        <v>792</v>
      </c>
      <c r="H161" s="4" t="e">
        <f t="shared" si="4"/>
        <v>#N/A</v>
      </c>
      <c r="I161" s="4" t="e">
        <f>VLOOKUP(G161,$A$3:$D$192,3,FALSE)</f>
        <v>#N/A</v>
      </c>
      <c r="J161" s="4" t="e">
        <f t="shared" si="5"/>
        <v>#N/A</v>
      </c>
    </row>
    <row r="162" spans="1:10">
      <c r="A162" t="s">
        <v>796</v>
      </c>
      <c r="B162" t="s">
        <v>662</v>
      </c>
      <c r="C162" t="s">
        <v>1219</v>
      </c>
      <c r="D162" t="s">
        <v>1131</v>
      </c>
      <c r="F162" t="s">
        <v>662</v>
      </c>
      <c r="G162" t="s">
        <v>796</v>
      </c>
      <c r="H162" t="str">
        <f t="shared" si="4"/>
        <v>Qatar</v>
      </c>
      <c r="I162" t="str">
        <f>VLOOKUP(G162,$A$3:$D$192,3,FALSE)</f>
        <v>https://dsbb.imf.org/egdds/country/QAT/category</v>
      </c>
      <c r="J162" t="str">
        <f t="shared" si="5"/>
        <v>Enhanced General Data Dissemination System (e-GDDS)</v>
      </c>
    </row>
    <row r="163" spans="1:10">
      <c r="A163" t="s">
        <v>810</v>
      </c>
      <c r="B163" t="s">
        <v>215</v>
      </c>
      <c r="C163" t="s">
        <v>1220</v>
      </c>
      <c r="D163" t="s">
        <v>1131</v>
      </c>
      <c r="F163" t="s">
        <v>800</v>
      </c>
      <c r="G163" t="s">
        <v>801</v>
      </c>
      <c r="H163" t="str">
        <f t="shared" si="4"/>
        <v>Romania</v>
      </c>
      <c r="I163" t="str">
        <f>VLOOKUP(G163,$A$3:$D$192,3,FALSE)</f>
        <v>https://dsbb.imf.org/sddsplus/country/ROU/category</v>
      </c>
      <c r="J163" t="str">
        <f t="shared" si="5"/>
        <v>Special Data Dissemination Standard Plus (SDDS Plus)</v>
      </c>
    </row>
    <row r="164" spans="1:10">
      <c r="A164" t="s">
        <v>814</v>
      </c>
      <c r="B164" t="s">
        <v>813</v>
      </c>
      <c r="C164" t="s">
        <v>1221</v>
      </c>
      <c r="D164" t="s">
        <v>1131</v>
      </c>
      <c r="F164" t="s">
        <v>805</v>
      </c>
      <c r="G164" t="s">
        <v>806</v>
      </c>
      <c r="H164" t="str">
        <f t="shared" si="4"/>
        <v>Russian Federation</v>
      </c>
      <c r="I164" t="str">
        <f>VLOOKUP(G164,$A$3:$D$192,3,FALSE)</f>
        <v>https://dsbb.imf.org/sdds/country/RUS/category</v>
      </c>
      <c r="J164" t="str">
        <f t="shared" si="5"/>
        <v>Special Data Dissemination Standard (SDDS)</v>
      </c>
    </row>
    <row r="165" spans="1:10">
      <c r="A165" t="s">
        <v>890</v>
      </c>
      <c r="B165" t="s">
        <v>889</v>
      </c>
      <c r="C165" t="s">
        <v>1222</v>
      </c>
      <c r="D165" t="s">
        <v>1131</v>
      </c>
      <c r="F165" t="s">
        <v>215</v>
      </c>
      <c r="G165" t="s">
        <v>810</v>
      </c>
      <c r="H165" t="str">
        <f t="shared" si="4"/>
        <v>Rwanda</v>
      </c>
      <c r="I165" t="str">
        <f>VLOOKUP(G165,$A$3:$D$192,3,FALSE)</f>
        <v>https://dsbb.imf.org/egdds/country/RWA/category</v>
      </c>
      <c r="J165" t="str">
        <f t="shared" si="5"/>
        <v>Enhanced General Data Dissemination System (e-GDDS)</v>
      </c>
    </row>
    <row r="166" spans="1:10">
      <c r="A166" t="s">
        <v>819</v>
      </c>
      <c r="B166" t="s">
        <v>818</v>
      </c>
      <c r="C166" t="s">
        <v>1223</v>
      </c>
      <c r="D166" t="s">
        <v>1131</v>
      </c>
      <c r="F166" t="s">
        <v>813</v>
      </c>
      <c r="G166" t="s">
        <v>814</v>
      </c>
      <c r="H166" t="str">
        <f t="shared" si="4"/>
        <v>Samoa</v>
      </c>
      <c r="I166" t="str">
        <f>VLOOKUP(G166,$A$3:$D$192,3,FALSE)</f>
        <v>https://dsbb.imf.org/egdds/country/WSM/category</v>
      </c>
      <c r="J166" t="str">
        <f t="shared" si="5"/>
        <v>Enhanced General Data Dissemination System (e-GDDS)</v>
      </c>
    </row>
    <row r="167" spans="1:10">
      <c r="A167" t="s">
        <v>420</v>
      </c>
      <c r="B167" t="s">
        <v>419</v>
      </c>
      <c r="C167" t="s">
        <v>1224</v>
      </c>
      <c r="D167" t="s">
        <v>1131</v>
      </c>
      <c r="F167" t="s">
        <v>818</v>
      </c>
      <c r="G167" t="s">
        <v>819</v>
      </c>
      <c r="H167" t="str">
        <f t="shared" si="4"/>
        <v>San Marino</v>
      </c>
      <c r="I167" t="str">
        <f>VLOOKUP(G167,$A$3:$D$192,3,FALSE)</f>
        <v>https://dsbb.imf.org/egdds/country/SMR/category</v>
      </c>
      <c r="J167" t="str">
        <f t="shared" si="5"/>
        <v>Enhanced General Data Dissemination System (e-GDDS)</v>
      </c>
    </row>
    <row r="168" spans="1:10">
      <c r="A168" t="s">
        <v>223</v>
      </c>
      <c r="B168" t="s">
        <v>222</v>
      </c>
      <c r="C168" t="s">
        <v>1225</v>
      </c>
      <c r="D168" t="s">
        <v>1131</v>
      </c>
      <c r="F168" t="s">
        <v>222</v>
      </c>
      <c r="G168" t="s">
        <v>223</v>
      </c>
      <c r="H168" t="str">
        <f t="shared" si="4"/>
        <v>São Tomé and Príncipe</v>
      </c>
      <c r="I168" t="str">
        <f>VLOOKUP(G168,$A$3:$D$192,3,FALSE)</f>
        <v>https://dsbb.imf.org/egdds/country/STP/category</v>
      </c>
      <c r="J168" t="str">
        <f t="shared" si="5"/>
        <v>Enhanced General Data Dissemination System (e-GDDS)</v>
      </c>
    </row>
    <row r="169" spans="1:10">
      <c r="A169" t="s">
        <v>901</v>
      </c>
      <c r="B169" t="s">
        <v>900</v>
      </c>
      <c r="C169" t="s">
        <v>1226</v>
      </c>
      <c r="D169" t="s">
        <v>1131</v>
      </c>
      <c r="F169" t="s">
        <v>667</v>
      </c>
      <c r="G169" t="s">
        <v>826</v>
      </c>
      <c r="H169" t="str">
        <f t="shared" si="4"/>
        <v>Saudi Arabia</v>
      </c>
      <c r="I169" t="str">
        <f>VLOOKUP(G169,$A$3:$D$192,3,FALSE)</f>
        <v>https://dsbb.imf.org/sdds/country/SAU/category</v>
      </c>
      <c r="J169" t="str">
        <f t="shared" si="5"/>
        <v>Special Data Dissemination Standard (SDDS)</v>
      </c>
    </row>
    <row r="170" spans="1:10">
      <c r="A170" t="s">
        <v>835</v>
      </c>
      <c r="B170" t="s">
        <v>834</v>
      </c>
      <c r="C170" t="s">
        <v>1227</v>
      </c>
      <c r="D170" t="s">
        <v>1131</v>
      </c>
      <c r="F170" t="s">
        <v>229</v>
      </c>
      <c r="G170" t="s">
        <v>830</v>
      </c>
      <c r="H170" t="str">
        <f t="shared" si="4"/>
        <v>Senegal</v>
      </c>
      <c r="I170" t="str">
        <f>VLOOKUP(G170,$A$3:$D$192,3,FALSE)</f>
        <v>https://dsbb.imf.org/sdds/country/SEN/category</v>
      </c>
      <c r="J170" t="str">
        <f t="shared" si="5"/>
        <v>Special Data Dissemination Standard (SDDS)</v>
      </c>
    </row>
    <row r="171" spans="1:10">
      <c r="A171" t="s">
        <v>904</v>
      </c>
      <c r="B171" t="s">
        <v>260</v>
      </c>
      <c r="C171" t="s">
        <v>1228</v>
      </c>
      <c r="D171" t="s">
        <v>1131</v>
      </c>
      <c r="F171" t="s">
        <v>834</v>
      </c>
      <c r="G171" t="s">
        <v>835</v>
      </c>
      <c r="H171" t="str">
        <f t="shared" si="4"/>
        <v>Serbia</v>
      </c>
      <c r="I171" t="str">
        <f>VLOOKUP(G171,$A$3:$D$192,3,FALSE)</f>
        <v>https://dsbb.imf.org/egdds/country/SRB/category</v>
      </c>
      <c r="J171" t="str">
        <f t="shared" si="5"/>
        <v>Enhanced General Data Dissemination System (e-GDDS)</v>
      </c>
    </row>
    <row r="172" spans="1:10">
      <c r="A172" t="s">
        <v>843</v>
      </c>
      <c r="B172" t="s">
        <v>238</v>
      </c>
      <c r="C172" t="s">
        <v>1229</v>
      </c>
      <c r="D172" t="s">
        <v>1131</v>
      </c>
      <c r="F172" t="s">
        <v>233</v>
      </c>
      <c r="G172" t="s">
        <v>839</v>
      </c>
      <c r="H172" t="str">
        <f t="shared" si="4"/>
        <v>Seychelles</v>
      </c>
      <c r="I172" t="str">
        <f>VLOOKUP(G172,$A$3:$D$192,3,FALSE)</f>
        <v>https://dsbb.imf.org/sdds/country/SYC/category</v>
      </c>
      <c r="J172" t="str">
        <f t="shared" si="5"/>
        <v>Special Data Dissemination Standard (SDDS)</v>
      </c>
    </row>
    <row r="173" spans="1:10">
      <c r="A173" t="s">
        <v>908</v>
      </c>
      <c r="B173" t="s">
        <v>427</v>
      </c>
      <c r="C173" t="s">
        <v>1230</v>
      </c>
      <c r="D173" t="s">
        <v>1131</v>
      </c>
      <c r="F173" t="s">
        <v>238</v>
      </c>
      <c r="G173" t="s">
        <v>843</v>
      </c>
      <c r="H173" t="str">
        <f t="shared" si="4"/>
        <v>Sierra Leone</v>
      </c>
      <c r="I173" t="str">
        <f>VLOOKUP(G173,$A$3:$D$192,3,FALSE)</f>
        <v>https://dsbb.imf.org/egdds/country/SLE/category</v>
      </c>
      <c r="J173" t="str">
        <f t="shared" si="5"/>
        <v>Enhanced General Data Dissemination System (e-GDDS)</v>
      </c>
    </row>
    <row r="174" spans="1:10">
      <c r="A174" t="s">
        <v>866</v>
      </c>
      <c r="B174" t="s">
        <v>865</v>
      </c>
      <c r="C174" t="s">
        <v>1231</v>
      </c>
      <c r="D174" t="s">
        <v>1131</v>
      </c>
      <c r="F174" t="s">
        <v>672</v>
      </c>
      <c r="G174" t="s">
        <v>847</v>
      </c>
      <c r="H174" t="str">
        <f t="shared" si="4"/>
        <v>Singapore</v>
      </c>
      <c r="I174" t="str">
        <f>VLOOKUP(G174,$A$3:$D$192,3,FALSE)</f>
        <v>https://dsbb.imf.org/sdds/country/SGP/category</v>
      </c>
      <c r="J174" t="str">
        <f t="shared" si="5"/>
        <v>Special Data Dissemination Standard (SDDS)</v>
      </c>
    </row>
    <row r="175" spans="1:10">
      <c r="A175" t="s">
        <v>689</v>
      </c>
      <c r="B175" t="s">
        <v>688</v>
      </c>
      <c r="C175" t="s">
        <v>1232</v>
      </c>
      <c r="D175" t="s">
        <v>1131</v>
      </c>
      <c r="F175" s="4" t="s">
        <v>850</v>
      </c>
      <c r="G175" s="4" t="s">
        <v>851</v>
      </c>
      <c r="H175" s="4" t="e">
        <f t="shared" si="4"/>
        <v>#N/A</v>
      </c>
      <c r="I175" s="4" t="e">
        <f>VLOOKUP(G175,$A$3:$D$192,3,FALSE)</f>
        <v>#N/A</v>
      </c>
      <c r="J175" s="4" t="e">
        <f t="shared" si="5"/>
        <v>#N/A</v>
      </c>
    </row>
    <row r="176" spans="1:10">
      <c r="A176" t="s">
        <v>870</v>
      </c>
      <c r="B176" t="s">
        <v>869</v>
      </c>
      <c r="C176" t="s">
        <v>1233</v>
      </c>
      <c r="D176" t="s">
        <v>1131</v>
      </c>
      <c r="F176" t="s">
        <v>855</v>
      </c>
      <c r="G176" t="s">
        <v>856</v>
      </c>
      <c r="H176" t="str">
        <f t="shared" si="4"/>
        <v>Slovak Republic</v>
      </c>
      <c r="I176" t="str">
        <f>VLOOKUP(G176,$A$3:$D$192,3,FALSE)</f>
        <v>https://dsbb.imf.org/sddsplus/country/SVK/category</v>
      </c>
      <c r="J176" t="str">
        <f t="shared" si="5"/>
        <v>Special Data Dissemination Standard Plus (SDDS Plus)</v>
      </c>
    </row>
    <row r="177" spans="1:10">
      <c r="A177" t="s">
        <v>930</v>
      </c>
      <c r="B177" t="s">
        <v>694</v>
      </c>
      <c r="C177" t="s">
        <v>1234</v>
      </c>
      <c r="D177" t="s">
        <v>1131</v>
      </c>
      <c r="F177" t="s">
        <v>860</v>
      </c>
      <c r="G177" t="s">
        <v>861</v>
      </c>
      <c r="H177" t="str">
        <f t="shared" si="4"/>
        <v>Slovenia</v>
      </c>
      <c r="I177" t="str">
        <f>VLOOKUP(G177,$A$3:$D$192,3,FALSE)</f>
        <v>https://dsbb.imf.org/sddsplus/country/SVN/category</v>
      </c>
      <c r="J177" t="str">
        <f t="shared" si="5"/>
        <v>Special Data Dissemination Standard Plus (SDDS Plus)</v>
      </c>
    </row>
    <row r="178" spans="1:10">
      <c r="A178" t="s">
        <v>950</v>
      </c>
      <c r="B178" t="s">
        <v>949</v>
      </c>
      <c r="C178" t="s">
        <v>1235</v>
      </c>
      <c r="D178" t="s">
        <v>1131</v>
      </c>
      <c r="F178" t="s">
        <v>865</v>
      </c>
      <c r="G178" t="s">
        <v>866</v>
      </c>
      <c r="H178" t="str">
        <f t="shared" si="4"/>
        <v>Solomon Islands</v>
      </c>
      <c r="I178" t="str">
        <f>VLOOKUP(G178,$A$3:$D$192,3,FALSE)</f>
        <v>https://dsbb.imf.org/egdds/country/SLB/category</v>
      </c>
      <c r="J178" t="str">
        <f t="shared" si="5"/>
        <v>Enhanced General Data Dissemination System (e-GDDS)</v>
      </c>
    </row>
    <row r="179" spans="1:10">
      <c r="A179" t="s">
        <v>288</v>
      </c>
      <c r="B179" t="s">
        <v>287</v>
      </c>
      <c r="C179" t="s">
        <v>1236</v>
      </c>
      <c r="D179" t="s">
        <v>1131</v>
      </c>
      <c r="F179" t="s">
        <v>869</v>
      </c>
      <c r="G179" t="s">
        <v>870</v>
      </c>
      <c r="H179" t="str">
        <f t="shared" si="4"/>
        <v>Somalia</v>
      </c>
      <c r="I179" t="str">
        <f>VLOOKUP(G179,$A$3:$D$192,3,FALSE)</f>
        <v>https://dsbb.imf.org/egdds/country/SOM/category</v>
      </c>
      <c r="J179" t="str">
        <f t="shared" si="5"/>
        <v>Enhanced General Data Dissemination System (e-GDDS)</v>
      </c>
    </row>
    <row r="180" spans="1:10">
      <c r="A180" t="s">
        <v>954</v>
      </c>
      <c r="B180" t="s">
        <v>431</v>
      </c>
      <c r="C180" t="s">
        <v>1237</v>
      </c>
      <c r="D180" t="s">
        <v>1131</v>
      </c>
      <c r="F180" t="s">
        <v>244</v>
      </c>
      <c r="G180" t="s">
        <v>874</v>
      </c>
      <c r="H180" t="str">
        <f t="shared" si="4"/>
        <v>South Africa</v>
      </c>
      <c r="I180" t="str">
        <f>VLOOKUP(G180,$A$3:$D$192,3,FALSE)</f>
        <v>https://dsbb.imf.org/sdds/country/ZAF/category</v>
      </c>
      <c r="J180" t="str">
        <f t="shared" si="5"/>
        <v>Special Data Dissemination Standard (SDDS)</v>
      </c>
    </row>
    <row r="181" spans="1:10">
      <c r="A181" t="s">
        <v>707</v>
      </c>
      <c r="B181" t="s">
        <v>1238</v>
      </c>
      <c r="C181" t="s">
        <v>1239</v>
      </c>
      <c r="D181" t="s">
        <v>1131</v>
      </c>
      <c r="F181" s="4" t="s">
        <v>249</v>
      </c>
      <c r="G181" s="4" t="s">
        <v>878</v>
      </c>
      <c r="H181" s="4" t="e">
        <f t="shared" si="4"/>
        <v>#N/A</v>
      </c>
      <c r="I181" s="4" t="e">
        <f>VLOOKUP(G181,$A$3:$D$192,3,FALSE)</f>
        <v>#N/A</v>
      </c>
      <c r="J181" s="4" t="e">
        <f t="shared" si="5"/>
        <v>#N/A</v>
      </c>
    </row>
    <row r="182" spans="1:10">
      <c r="A182" t="s">
        <v>976</v>
      </c>
      <c r="B182" t="s">
        <v>975</v>
      </c>
      <c r="C182" t="s">
        <v>1240</v>
      </c>
      <c r="D182" t="s">
        <v>1131</v>
      </c>
      <c r="F182" t="s">
        <v>881</v>
      </c>
      <c r="G182" t="s">
        <v>882</v>
      </c>
      <c r="H182" t="str">
        <f t="shared" si="4"/>
        <v>Spain</v>
      </c>
      <c r="I182" t="str">
        <f>VLOOKUP(G182,$A$3:$D$192,3,FALSE)</f>
        <v>https://dsbb.imf.org/sddsplus/country/ESP/category</v>
      </c>
      <c r="J182" t="str">
        <f t="shared" si="5"/>
        <v>Special Data Dissemination Standard Plus (SDDS Plus)</v>
      </c>
    </row>
    <row r="183" spans="1:10">
      <c r="A183" t="s">
        <v>946</v>
      </c>
      <c r="B183" t="s">
        <v>273</v>
      </c>
      <c r="C183" t="s">
        <v>1241</v>
      </c>
      <c r="D183" t="s">
        <v>1131</v>
      </c>
      <c r="F183" t="s">
        <v>677</v>
      </c>
      <c r="G183" t="s">
        <v>885</v>
      </c>
      <c r="H183" t="str">
        <f t="shared" si="4"/>
        <v>Sri Lanka</v>
      </c>
      <c r="I183" t="str">
        <f>VLOOKUP(G183,$A$3:$D$192,3,FALSE)</f>
        <v>https://dsbb.imf.org/sdds/country/LKA/category</v>
      </c>
      <c r="J183" t="str">
        <f t="shared" si="5"/>
        <v>Special Data Dissemination Standard (SDDS)</v>
      </c>
    </row>
    <row r="184" spans="1:10">
      <c r="A184" t="s">
        <v>979</v>
      </c>
      <c r="B184" t="s">
        <v>283</v>
      </c>
      <c r="C184" t="s">
        <v>1242</v>
      </c>
      <c r="D184" t="s">
        <v>1131</v>
      </c>
      <c r="F184" t="s">
        <v>889</v>
      </c>
      <c r="G184" t="s">
        <v>890</v>
      </c>
      <c r="H184" t="str">
        <f t="shared" si="4"/>
        <v>St. Kitts and Nevis</v>
      </c>
      <c r="I184" t="str">
        <f>VLOOKUP(G184,$A$3:$D$192,3,FALSE)</f>
        <v>https://dsbb.imf.org/egdds/country/KNA/category</v>
      </c>
      <c r="J184" t="str">
        <f t="shared" si="5"/>
        <v>Enhanced General Data Dissemination System (e-GDDS)</v>
      </c>
    </row>
    <row r="185" spans="1:10">
      <c r="A185" t="s">
        <v>1003</v>
      </c>
      <c r="B185" t="s">
        <v>725</v>
      </c>
      <c r="C185" t="s">
        <v>1243</v>
      </c>
      <c r="D185" t="s">
        <v>1131</v>
      </c>
      <c r="F185" t="s">
        <v>419</v>
      </c>
      <c r="G185" t="s">
        <v>420</v>
      </c>
      <c r="H185" t="str">
        <f t="shared" si="4"/>
        <v>St. Lucia</v>
      </c>
      <c r="I185" t="str">
        <f>VLOOKUP(G185,$A$3:$D$192,3,FALSE)</f>
        <v>https://dsbb.imf.org/egdds/country/LCA/category</v>
      </c>
      <c r="J185" t="str">
        <f t="shared" si="5"/>
        <v>Enhanced General Data Dissemination System (e-GDDS)</v>
      </c>
    </row>
    <row r="186" spans="1:10">
      <c r="A186" t="s">
        <v>986</v>
      </c>
      <c r="B186" t="s">
        <v>720</v>
      </c>
      <c r="C186" t="s">
        <v>1244</v>
      </c>
      <c r="D186" t="s">
        <v>1131</v>
      </c>
      <c r="F186" s="4" t="s">
        <v>424</v>
      </c>
      <c r="G186" s="4" t="s">
        <v>425</v>
      </c>
      <c r="H186" s="4" t="e">
        <f t="shared" si="4"/>
        <v>#N/A</v>
      </c>
      <c r="I186" s="4" t="e">
        <f>VLOOKUP(G186,$A$3:$D$192,3,FALSE)</f>
        <v>#N/A</v>
      </c>
      <c r="J186" s="4" t="e">
        <f t="shared" si="5"/>
        <v>#N/A</v>
      </c>
    </row>
    <row r="187" spans="1:10">
      <c r="A187" t="s">
        <v>1008</v>
      </c>
      <c r="B187" t="s">
        <v>1007</v>
      </c>
      <c r="C187" t="s">
        <v>1245</v>
      </c>
      <c r="D187" t="s">
        <v>1131</v>
      </c>
      <c r="F187" t="s">
        <v>900</v>
      </c>
      <c r="G187" t="s">
        <v>901</v>
      </c>
      <c r="H187" t="str">
        <f t="shared" si="4"/>
        <v>St. Vincent and the Grenadines</v>
      </c>
      <c r="I187" t="str">
        <f>VLOOKUP(G187,$A$3:$D$192,3,FALSE)</f>
        <v>https://dsbb.imf.org/egdds/country/VCT/category</v>
      </c>
      <c r="J187" t="str">
        <f t="shared" si="5"/>
        <v>Enhanced General Data Dissemination System (e-GDDS)</v>
      </c>
    </row>
    <row r="188" spans="1:10">
      <c r="A188" t="s">
        <v>732</v>
      </c>
      <c r="B188" t="s">
        <v>731</v>
      </c>
      <c r="C188" t="s">
        <v>1246</v>
      </c>
      <c r="D188" t="s">
        <v>1131</v>
      </c>
      <c r="F188" t="s">
        <v>260</v>
      </c>
      <c r="G188" t="s">
        <v>904</v>
      </c>
      <c r="H188" t="str">
        <f t="shared" si="4"/>
        <v>Sudan</v>
      </c>
      <c r="I188" t="str">
        <f>VLOOKUP(G188,$A$3:$D$192,3,FALSE)</f>
        <v>https://dsbb.imf.org/egdds/country/SDN/category</v>
      </c>
      <c r="J188" t="str">
        <f t="shared" si="5"/>
        <v>Enhanced General Data Dissemination System (e-GDDS)</v>
      </c>
    </row>
    <row r="189" spans="1:10">
      <c r="A189" t="s">
        <v>490</v>
      </c>
      <c r="B189" t="s">
        <v>1247</v>
      </c>
      <c r="C189" t="s">
        <v>1248</v>
      </c>
      <c r="D189" t="s">
        <v>1131</v>
      </c>
      <c r="F189" t="s">
        <v>427</v>
      </c>
      <c r="G189" t="s">
        <v>908</v>
      </c>
      <c r="H189" t="str">
        <f t="shared" si="4"/>
        <v>Suriname</v>
      </c>
      <c r="I189" t="str">
        <f>VLOOKUP(G189,$A$3:$D$192,3,FALSE)</f>
        <v>https://dsbb.imf.org/egdds/country/SUR/category</v>
      </c>
      <c r="J189" t="str">
        <f t="shared" si="5"/>
        <v>Enhanced General Data Dissemination System (e-GDDS)</v>
      </c>
    </row>
    <row r="190" spans="1:10">
      <c r="A190" t="s">
        <v>1030</v>
      </c>
      <c r="B190" t="s">
        <v>1249</v>
      </c>
      <c r="C190" t="s">
        <v>1250</v>
      </c>
      <c r="D190" t="s">
        <v>1131</v>
      </c>
      <c r="F190" t="s">
        <v>912</v>
      </c>
      <c r="G190" t="s">
        <v>913</v>
      </c>
      <c r="H190" t="str">
        <f t="shared" si="4"/>
        <v>Sweden</v>
      </c>
      <c r="I190" t="str">
        <f>VLOOKUP(G190,$A$3:$D$192,3,FALSE)</f>
        <v>https://dsbb.imf.org/sddsplus/country/SWE/category</v>
      </c>
      <c r="J190" t="str">
        <f t="shared" si="5"/>
        <v>Special Data Dissemination Standard Plus (SDDS Plus)</v>
      </c>
    </row>
    <row r="191" spans="1:10">
      <c r="A191" t="s">
        <v>1034</v>
      </c>
      <c r="B191" t="s">
        <v>294</v>
      </c>
      <c r="C191" t="s">
        <v>1251</v>
      </c>
      <c r="D191" t="s">
        <v>1131</v>
      </c>
      <c r="F191" t="s">
        <v>917</v>
      </c>
      <c r="G191" t="s">
        <v>918</v>
      </c>
      <c r="H191" t="str">
        <f t="shared" si="4"/>
        <v>Switzerland</v>
      </c>
      <c r="I191" t="str">
        <f>VLOOKUP(G191,$A$3:$D$192,3,FALSE)</f>
        <v>https://dsbb.imf.org/sddsplus/country/CHE/category</v>
      </c>
      <c r="J191" t="str">
        <f t="shared" si="5"/>
        <v>Special Data Dissemination Standard Plus (SDDS Plus)</v>
      </c>
    </row>
    <row r="192" spans="1:10">
      <c r="A192" t="s">
        <v>1035</v>
      </c>
      <c r="B192" t="s">
        <v>300</v>
      </c>
      <c r="C192" t="s">
        <v>1252</v>
      </c>
      <c r="D192" t="s">
        <v>1131</v>
      </c>
      <c r="F192" t="s">
        <v>688</v>
      </c>
      <c r="G192" t="s">
        <v>689</v>
      </c>
      <c r="H192" t="str">
        <f t="shared" si="4"/>
        <v>Syrian Arab Republic</v>
      </c>
      <c r="I192" t="str">
        <f>VLOOKUP(G192,$A$3:$D$192,3,FALSE)</f>
        <v>https://dsbb.imf.org/egdds/country/SYR/category</v>
      </c>
      <c r="J192" t="str">
        <f t="shared" si="5"/>
        <v>Enhanced General Data Dissemination System (e-GDDS)</v>
      </c>
    </row>
    <row r="193" spans="6:10">
      <c r="F193" s="4" t="s">
        <v>926</v>
      </c>
      <c r="G193" s="4" t="s">
        <v>927</v>
      </c>
      <c r="H193" s="4" t="e">
        <f t="shared" si="4"/>
        <v>#N/A</v>
      </c>
      <c r="I193" s="4" t="e">
        <f>VLOOKUP(G193,$A$3:$D$192,3,FALSE)</f>
        <v>#N/A</v>
      </c>
      <c r="J193" s="4" t="e">
        <f t="shared" si="5"/>
        <v>#N/A</v>
      </c>
    </row>
    <row r="194" spans="6:10">
      <c r="F194" t="s">
        <v>694</v>
      </c>
      <c r="G194" t="s">
        <v>930</v>
      </c>
      <c r="H194" t="str">
        <f t="shared" si="4"/>
        <v>Tajikistan</v>
      </c>
      <c r="I194" t="str">
        <f>VLOOKUP(G194,$A$3:$D$192,3,FALSE)</f>
        <v>https://dsbb.imf.org/egdds/country/TJK/category</v>
      </c>
      <c r="J194" t="str">
        <f t="shared" si="5"/>
        <v>Enhanced General Data Dissemination System (e-GDDS)</v>
      </c>
    </row>
    <row r="195" spans="6:10">
      <c r="F195" t="s">
        <v>287</v>
      </c>
      <c r="G195" t="s">
        <v>288</v>
      </c>
      <c r="H195" t="str">
        <f t="shared" si="4"/>
        <v>Tanzania</v>
      </c>
      <c r="I195" t="str">
        <f>VLOOKUP(G195,$A$3:$D$192,3,FALSE)</f>
        <v>https://dsbb.imf.org/egdds/country/TZA/category</v>
      </c>
      <c r="J195" t="str">
        <f t="shared" si="5"/>
        <v>Enhanced General Data Dissemination System (e-GDDS)</v>
      </c>
    </row>
    <row r="196" spans="6:10">
      <c r="F196" t="s">
        <v>699</v>
      </c>
      <c r="G196" t="s">
        <v>937</v>
      </c>
      <c r="H196" t="str">
        <f>VLOOKUP(G196,$A$3:$D$192,2,FALSE)</f>
        <v>Thailand</v>
      </c>
      <c r="I196" t="str">
        <f>VLOOKUP(G196,$A$3:$D$192,3,FALSE)</f>
        <v>https://dsbb.imf.org/sdds/country/THA/category</v>
      </c>
      <c r="J196" t="str">
        <f>VLOOKUP(G196,$A$3:$D$192,4,FALSE)</f>
        <v>Special Data Dissemination Standard (SDDS)</v>
      </c>
    </row>
    <row r="197" spans="6:10">
      <c r="F197" t="s">
        <v>706</v>
      </c>
      <c r="G197" t="s">
        <v>707</v>
      </c>
      <c r="H197" t="str">
        <f>VLOOKUP(G197,$A$3:$D$192,2,FALSE)</f>
        <v>Timor-Leste, Dem. Rep. of</v>
      </c>
      <c r="I197" t="str">
        <f>VLOOKUP(G197,$A$3:$D$192,3,FALSE)</f>
        <v>https://dsbb.imf.org/egdds/country/TLS/category</v>
      </c>
      <c r="J197" t="str">
        <f>VLOOKUP(G197,$A$3:$D$192,4,FALSE)</f>
        <v>Enhanced General Data Dissemination System (e-GDDS)</v>
      </c>
    </row>
    <row r="198" spans="6:10">
      <c r="F198" t="s">
        <v>273</v>
      </c>
      <c r="G198" t="s">
        <v>946</v>
      </c>
      <c r="H198" t="str">
        <f>VLOOKUP(G198,$A$3:$D$192,2,FALSE)</f>
        <v>Togo</v>
      </c>
      <c r="I198" t="str">
        <f>VLOOKUP(G198,$A$3:$D$192,3,FALSE)</f>
        <v>https://dsbb.imf.org/egdds/country/TGO/category</v>
      </c>
      <c r="J198" t="str">
        <f>VLOOKUP(G198,$A$3:$D$192,4,FALSE)</f>
        <v>Enhanced General Data Dissemination System (e-GDDS)</v>
      </c>
    </row>
    <row r="199" spans="6:10">
      <c r="F199" t="s">
        <v>949</v>
      </c>
      <c r="G199" t="s">
        <v>950</v>
      </c>
      <c r="H199" t="str">
        <f>VLOOKUP(G199,$A$3:$D$192,2,FALSE)</f>
        <v>Tonga</v>
      </c>
      <c r="I199" t="str">
        <f>VLOOKUP(G199,$A$3:$D$192,3,FALSE)</f>
        <v>https://dsbb.imf.org/egdds/country/TON/category</v>
      </c>
      <c r="J199" t="str">
        <f>VLOOKUP(G199,$A$3:$D$192,4,FALSE)</f>
        <v>Enhanced General Data Dissemination System (e-GDDS)</v>
      </c>
    </row>
    <row r="200" spans="6:10">
      <c r="F200" t="s">
        <v>431</v>
      </c>
      <c r="G200" t="s">
        <v>954</v>
      </c>
      <c r="H200" t="str">
        <f>VLOOKUP(G200,$A$3:$D$192,2,FALSE)</f>
        <v>Trinidad and Tobago</v>
      </c>
      <c r="I200" t="str">
        <f>VLOOKUP(G200,$A$3:$D$192,3,FALSE)</f>
        <v>https://dsbb.imf.org/egdds/country/TTO/category</v>
      </c>
      <c r="J200" t="str">
        <f>VLOOKUP(G200,$A$3:$D$192,4,FALSE)</f>
        <v>Enhanced General Data Dissemination System (e-GDDS)</v>
      </c>
    </row>
    <row r="201" spans="6:10">
      <c r="F201" t="s">
        <v>277</v>
      </c>
      <c r="G201" t="s">
        <v>959</v>
      </c>
      <c r="H201" t="str">
        <f>VLOOKUP(G201,$A$3:$D$192,2,FALSE)</f>
        <v>Tunisia</v>
      </c>
      <c r="I201" t="str">
        <f>VLOOKUP(G201,$A$3:$D$192,3,FALSE)</f>
        <v>https://dsbb.imf.org/sdds/country/TUN/category</v>
      </c>
      <c r="J201" t="str">
        <f>VLOOKUP(G201,$A$3:$D$192,4,FALSE)</f>
        <v>Special Data Dissemination Standard (SDDS)</v>
      </c>
    </row>
    <row r="202" spans="6:10">
      <c r="F202" t="s">
        <v>714</v>
      </c>
      <c r="G202" t="s">
        <v>715</v>
      </c>
      <c r="H202" t="str">
        <f>VLOOKUP(G202,$A$3:$D$192,2,FALSE)</f>
        <v>Türkiye, Republic of</v>
      </c>
      <c r="I202" t="str">
        <f>VLOOKUP(G202,$A$3:$D$192,3,FALSE)</f>
        <v>https://dsbb.imf.org/sdds/country/TUR/category</v>
      </c>
      <c r="J202" t="str">
        <f>VLOOKUP(G202,$A$3:$D$192,4,FALSE)</f>
        <v>Special Data Dissemination Standard (SDDS)</v>
      </c>
    </row>
    <row r="203" spans="6:10">
      <c r="F203" s="4" t="s">
        <v>966</v>
      </c>
      <c r="G203" s="4" t="s">
        <v>967</v>
      </c>
      <c r="H203" s="4" t="e">
        <f>VLOOKUP(G203,$A$3:$D$192,2,FALSE)</f>
        <v>#N/A</v>
      </c>
      <c r="I203" s="4" t="e">
        <f>VLOOKUP(G203,$A$3:$D$192,3,FALSE)</f>
        <v>#N/A</v>
      </c>
      <c r="J203" s="4" t="e">
        <f>VLOOKUP(G203,$A$3:$D$192,4,FALSE)</f>
        <v>#N/A</v>
      </c>
    </row>
    <row r="204" spans="6:10">
      <c r="F204" s="4" t="s">
        <v>437</v>
      </c>
      <c r="G204" s="4" t="s">
        <v>970</v>
      </c>
      <c r="H204" s="4" t="e">
        <f>VLOOKUP(G204,$A$3:$D$192,2,FALSE)</f>
        <v>#N/A</v>
      </c>
      <c r="I204" s="4" t="e">
        <f>VLOOKUP(G204,$A$3:$D$192,3,FALSE)</f>
        <v>#N/A</v>
      </c>
      <c r="J204" s="4" t="e">
        <f>VLOOKUP(G204,$A$3:$D$192,4,FALSE)</f>
        <v>#N/A</v>
      </c>
    </row>
    <row r="205" spans="6:10">
      <c r="F205" t="s">
        <v>975</v>
      </c>
      <c r="G205" t="s">
        <v>976</v>
      </c>
      <c r="H205" t="str">
        <f>VLOOKUP(G205,$A$3:$D$192,2,FALSE)</f>
        <v>Tuvalu</v>
      </c>
      <c r="I205" t="str">
        <f>VLOOKUP(G205,$A$3:$D$192,3,FALSE)</f>
        <v>https://dsbb.imf.org/egdds/country/TUV/category</v>
      </c>
      <c r="J205" t="str">
        <f>VLOOKUP(G205,$A$3:$D$192,4,FALSE)</f>
        <v>Enhanced General Data Dissemination System (e-GDDS)</v>
      </c>
    </row>
    <row r="206" spans="6:10">
      <c r="F206" t="s">
        <v>283</v>
      </c>
      <c r="G206" t="s">
        <v>979</v>
      </c>
      <c r="H206" t="str">
        <f>VLOOKUP(G206,$A$3:$D$192,2,FALSE)</f>
        <v>Uganda</v>
      </c>
      <c r="I206" t="str">
        <f>VLOOKUP(G206,$A$3:$D$192,3,FALSE)</f>
        <v>https://dsbb.imf.org/egdds/country/UGA/category</v>
      </c>
      <c r="J206" t="str">
        <f>VLOOKUP(G206,$A$3:$D$192,4,FALSE)</f>
        <v>Enhanced General Data Dissemination System (e-GDDS)</v>
      </c>
    </row>
    <row r="207" spans="6:10">
      <c r="F207" t="s">
        <v>941</v>
      </c>
      <c r="G207" t="s">
        <v>982</v>
      </c>
      <c r="H207" t="str">
        <f>VLOOKUP(G207,$A$3:$D$192,2,FALSE)</f>
        <v>Ukraine</v>
      </c>
      <c r="I207" t="str">
        <f>VLOOKUP(G207,$A$3:$D$192,3,FALSE)</f>
        <v>https://dsbb.imf.org/sdds/country/UKR/category</v>
      </c>
      <c r="J207" t="str">
        <f>VLOOKUP(G207,$A$3:$D$192,4,FALSE)</f>
        <v>Special Data Dissemination Standard (SDDS)</v>
      </c>
    </row>
    <row r="208" spans="6:10">
      <c r="F208" t="s">
        <v>720</v>
      </c>
      <c r="G208" t="s">
        <v>986</v>
      </c>
      <c r="H208" t="str">
        <f>VLOOKUP(G208,$A$3:$D$192,2,FALSE)</f>
        <v>United Arab Emirates</v>
      </c>
      <c r="I208" t="str">
        <f>VLOOKUP(G208,$A$3:$D$192,3,FALSE)</f>
        <v>https://dsbb.imf.org/egdds/country/ARE/category</v>
      </c>
      <c r="J208" t="str">
        <f>VLOOKUP(G208,$A$3:$D$192,4,FALSE)</f>
        <v>Enhanced General Data Dissemination System (e-GDDS)</v>
      </c>
    </row>
    <row r="209" spans="6:10">
      <c r="F209" t="s">
        <v>945</v>
      </c>
      <c r="G209" t="s">
        <v>990</v>
      </c>
      <c r="H209" t="str">
        <f>VLOOKUP(G209,$A$3:$D$192,2,FALSE)</f>
        <v>United Kingdom</v>
      </c>
      <c r="I209" t="str">
        <f>VLOOKUP(G209,$A$3:$D$192,3,FALSE)</f>
        <v>https://dsbb.imf.org/sddsplus/country/GBR/category</v>
      </c>
      <c r="J209" t="str">
        <f>VLOOKUP(G209,$A$3:$D$192,4,FALSE)</f>
        <v>Special Data Dissemination Standard Plus (SDDS Plus)</v>
      </c>
    </row>
    <row r="210" spans="6:10">
      <c r="F210" t="s">
        <v>442</v>
      </c>
      <c r="G210" t="s">
        <v>995</v>
      </c>
      <c r="H210" t="str">
        <f>VLOOKUP(G210,$A$3:$D$192,2,FALSE)</f>
        <v>United States</v>
      </c>
      <c r="I210" t="str">
        <f>VLOOKUP(G210,$A$3:$D$192,3,FALSE)</f>
        <v>https://dsbb.imf.org/sddsplus/country/USA/category</v>
      </c>
      <c r="J210" t="str">
        <f>VLOOKUP(G210,$A$3:$D$192,4,FALSE)</f>
        <v>Special Data Dissemination Standard Plus (SDDS Plus)</v>
      </c>
    </row>
    <row r="211" spans="6:10">
      <c r="F211" t="s">
        <v>439</v>
      </c>
      <c r="G211" t="s">
        <v>999</v>
      </c>
      <c r="H211" t="str">
        <f>VLOOKUP(G211,$A$3:$D$192,2,FALSE)</f>
        <v>Uruguay</v>
      </c>
      <c r="I211" t="str">
        <f>VLOOKUP(G211,$A$3:$D$192,3,FALSE)</f>
        <v>https://dsbb.imf.org/sdds/country/URY/category</v>
      </c>
      <c r="J211" t="str">
        <f>VLOOKUP(G211,$A$3:$D$192,4,FALSE)</f>
        <v>Special Data Dissemination Standard (SDDS)</v>
      </c>
    </row>
    <row r="212" spans="6:10">
      <c r="F212" t="s">
        <v>725</v>
      </c>
      <c r="G212" t="s">
        <v>1003</v>
      </c>
      <c r="H212" t="str">
        <f>VLOOKUP(G212,$A$3:$D$192,2,FALSE)</f>
        <v>Uzbekistan</v>
      </c>
      <c r="I212" t="str">
        <f>VLOOKUP(G212,$A$3:$D$192,3,FALSE)</f>
        <v>https://dsbb.imf.org/egdds/country/UZB/category</v>
      </c>
      <c r="J212" t="str">
        <f>VLOOKUP(G212,$A$3:$D$192,4,FALSE)</f>
        <v>Enhanced General Data Dissemination System (e-GDDS)</v>
      </c>
    </row>
    <row r="213" spans="6:10">
      <c r="F213" t="s">
        <v>1007</v>
      </c>
      <c r="G213" t="s">
        <v>1008</v>
      </c>
      <c r="H213" t="str">
        <f>VLOOKUP(G213,$A$3:$D$192,2,FALSE)</f>
        <v>Vanuatu</v>
      </c>
      <c r="I213" t="str">
        <f>VLOOKUP(G213,$A$3:$D$192,3,FALSE)</f>
        <v>https://dsbb.imf.org/egdds/country/VUT/category</v>
      </c>
      <c r="J213" t="str">
        <f>VLOOKUP(G213,$A$3:$D$192,4,FALSE)</f>
        <v>Enhanced General Data Dissemination System (e-GDDS)</v>
      </c>
    </row>
    <row r="214" spans="6:10">
      <c r="F214" t="s">
        <v>489</v>
      </c>
      <c r="G214" t="s">
        <v>490</v>
      </c>
      <c r="H214" t="str">
        <f>VLOOKUP(G214,$A$3:$D$192,2,FALSE)</f>
        <v>Venezuela, República Bolivariana de</v>
      </c>
      <c r="I214" t="str">
        <f>VLOOKUP(G214,$A$3:$D$192,3,FALSE)</f>
        <v>https://dsbb.imf.org/egdds/country/VEN/category</v>
      </c>
      <c r="J214" t="str">
        <f>VLOOKUP(G214,$A$3:$D$192,4,FALSE)</f>
        <v>Enhanced General Data Dissemination System (e-GDDS)</v>
      </c>
    </row>
    <row r="215" spans="6:10">
      <c r="F215" t="s">
        <v>731</v>
      </c>
      <c r="G215" t="s">
        <v>732</v>
      </c>
      <c r="H215" t="str">
        <f>VLOOKUP(G215,$A$3:$D$192,2,FALSE)</f>
        <v>Vietnam</v>
      </c>
      <c r="I215" t="str">
        <f>VLOOKUP(G215,$A$3:$D$192,3,FALSE)</f>
        <v>https://dsbb.imf.org/egdds/country/VNM/category</v>
      </c>
      <c r="J215" t="str">
        <f>VLOOKUP(G215,$A$3:$D$192,4,FALSE)</f>
        <v>Enhanced General Data Dissemination System (e-GDDS)</v>
      </c>
    </row>
    <row r="216" spans="6:10">
      <c r="F216" s="4" t="s">
        <v>1019</v>
      </c>
      <c r="G216" s="4" t="s">
        <v>1020</v>
      </c>
      <c r="H216" s="4" t="e">
        <f>VLOOKUP(G216,$A$3:$D$192,2,FALSE)</f>
        <v>#N/A</v>
      </c>
      <c r="I216" s="4" t="e">
        <f>VLOOKUP(G216,$A$3:$D$192,3,FALSE)</f>
        <v>#N/A</v>
      </c>
      <c r="J216" s="4" t="e">
        <f>VLOOKUP(G216,$A$3:$D$192,4,FALSE)</f>
        <v>#N/A</v>
      </c>
    </row>
    <row r="217" spans="6:10">
      <c r="F217" s="4" t="s">
        <v>1024</v>
      </c>
      <c r="G217" s="4" t="s">
        <v>1025</v>
      </c>
      <c r="H217" s="4" t="e">
        <f>VLOOKUP(G217,$A$3:$D$192,2,FALSE)</f>
        <v>#N/A</v>
      </c>
      <c r="I217" s="4" t="e">
        <f>VLOOKUP(G217,$A$3:$D$192,3,FALSE)</f>
        <v>#N/A</v>
      </c>
      <c r="J217" s="4" t="e">
        <f>VLOOKUP(G217,$A$3:$D$192,4,FALSE)</f>
        <v>#N/A</v>
      </c>
    </row>
    <row r="218" spans="6:10">
      <c r="F218" t="s">
        <v>1029</v>
      </c>
      <c r="G218" t="s">
        <v>1030</v>
      </c>
      <c r="H218" t="str">
        <f>VLOOKUP(G218,$A$3:$D$192,2,FALSE)</f>
        <v>Yemen, Republic of</v>
      </c>
      <c r="I218" t="str">
        <f>VLOOKUP(G218,$A$3:$D$192,3,FALSE)</f>
        <v>https://dsbb.imf.org/egdds/country/YEM/category</v>
      </c>
      <c r="J218" t="str">
        <f>VLOOKUP(G218,$A$3:$D$192,4,FALSE)</f>
        <v>Enhanced General Data Dissemination System (e-GDDS)</v>
      </c>
    </row>
    <row r="219" spans="6:10">
      <c r="F219" t="s">
        <v>294</v>
      </c>
      <c r="G219" t="s">
        <v>1034</v>
      </c>
      <c r="H219" t="str">
        <f>VLOOKUP(G219,$A$3:$D$192,2,FALSE)</f>
        <v>Zambia</v>
      </c>
      <c r="I219" t="str">
        <f>VLOOKUP(G219,$A$3:$D$192,3,FALSE)</f>
        <v>https://dsbb.imf.org/egdds/country/ZMB/category</v>
      </c>
      <c r="J219" t="str">
        <f>VLOOKUP(G219,$A$3:$D$192,4,FALSE)</f>
        <v>Enhanced General Data Dissemination System (e-GDDS)</v>
      </c>
    </row>
    <row r="220" spans="6:10">
      <c r="F220" t="s">
        <v>300</v>
      </c>
      <c r="G220" t="s">
        <v>1035</v>
      </c>
      <c r="H220" t="str">
        <f>VLOOKUP(G220,$A$3:$D$192,2,FALSE)</f>
        <v>Zimbabwe</v>
      </c>
      <c r="I220" t="str">
        <f>VLOOKUP(G220,$A$3:$D$192,3,FALSE)</f>
        <v>https://dsbb.imf.org/egdds/country/ZWE/category</v>
      </c>
      <c r="J220" t="str">
        <f>VLOOKUP(G220,$A$3:$D$192,4,FALSE)</f>
        <v>Enhanced General Data Dissemination System (e-GDDS)</v>
      </c>
    </row>
    <row r="222" spans="6:10">
      <c r="F222" s="1"/>
      <c r="G222" s="2"/>
    </row>
    <row r="223" spans="6:10">
      <c r="F223" s="1"/>
      <c r="G223" s="2"/>
    </row>
  </sheetData>
  <autoFilter ref="A2:K192" xr:uid="{45B730EC-3B19-4782-9439-ADA458CF1BFD}"/>
  <mergeCells count="3">
    <mergeCell ref="A1:D1"/>
    <mergeCell ref="F1:G1"/>
    <mergeCell ref="H1:J1"/>
  </mergeCells>
  <conditionalFormatting sqref="G222:G223">
    <cfRule type="duplicateValues" dxfId="4" priority="6"/>
    <cfRule type="duplicateValues" dxfId="3" priority="7"/>
    <cfRule type="duplicateValues" dxfId="2" priority="8"/>
    <cfRule type="duplicateValues" dxfId="1" priority="9"/>
  </conditionalFormatting>
  <conditionalFormatting sqref="G222:G269">
    <cfRule type="duplicateValues" dxfId="0" priority="10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E7B9B-EBA2-4BA3-8A20-660751D21F59}">
  <sheetPr codeName="Sheet2"/>
  <dimension ref="A1:D226"/>
  <sheetViews>
    <sheetView workbookViewId="0">
      <selection sqref="A1:D1"/>
    </sheetView>
  </sheetViews>
  <sheetFormatPr defaultRowHeight="14.45"/>
  <cols>
    <col min="1" max="1" width="28.85546875" bestFit="1" customWidth="1"/>
    <col min="2" max="2" width="28.85546875" customWidth="1"/>
    <col min="3" max="3" width="80.7109375" bestFit="1" customWidth="1"/>
    <col min="4" max="4" width="49.7109375" bestFit="1" customWidth="1"/>
  </cols>
  <sheetData>
    <row r="1" spans="1:4">
      <c r="A1" s="10" t="s">
        <v>0</v>
      </c>
      <c r="B1" s="10"/>
      <c r="C1" s="10"/>
      <c r="D1" s="10"/>
    </row>
    <row r="2" spans="1:4">
      <c r="A2" s="5" t="s">
        <v>1253</v>
      </c>
      <c r="B2" s="5" t="s">
        <v>1254</v>
      </c>
      <c r="C2" s="5" t="s">
        <v>1255</v>
      </c>
      <c r="D2" s="5" t="s">
        <v>1256</v>
      </c>
    </row>
    <row r="3" spans="1:4">
      <c r="A3" t="s">
        <v>10</v>
      </c>
      <c r="B3" t="s">
        <v>10</v>
      </c>
      <c r="C3" t="s">
        <v>11</v>
      </c>
      <c r="D3" t="str" cm="1">
        <f t="array" ref="D3">GetHyperlink(A3)</f>
        <v>http://www.ons.dz/</v>
      </c>
    </row>
    <row r="4" spans="1:4">
      <c r="A4" t="s">
        <v>16</v>
      </c>
      <c r="B4" t="s">
        <v>16</v>
      </c>
      <c r="C4" t="s">
        <v>17</v>
      </c>
      <c r="D4" t="str" cm="1">
        <f t="array" ref="D4">GetHyperlink(A4)</f>
        <v>https://www.ine.gov.ao/</v>
      </c>
    </row>
    <row r="5" spans="1:4">
      <c r="A5" t="s">
        <v>22</v>
      </c>
      <c r="B5" t="s">
        <v>22</v>
      </c>
      <c r="C5" t="s">
        <v>23</v>
      </c>
      <c r="D5" t="str" cm="1">
        <f t="array" ref="D5">GetHyperlink(A5)</f>
        <v>http://www.insae-bj.org/</v>
      </c>
    </row>
    <row r="6" spans="1:4">
      <c r="A6" t="s">
        <v>27</v>
      </c>
      <c r="B6" t="s">
        <v>27</v>
      </c>
      <c r="C6" t="s">
        <v>28</v>
      </c>
      <c r="D6" t="str" cm="1">
        <f t="array" ref="D6">GetHyperlink(A6)</f>
        <v>http://www.cso.gov.bw/</v>
      </c>
    </row>
    <row r="7" spans="1:4">
      <c r="A7" t="s">
        <v>33</v>
      </c>
      <c r="B7" t="s">
        <v>33</v>
      </c>
      <c r="C7" t="s">
        <v>34</v>
      </c>
      <c r="D7" t="str" cm="1">
        <f t="array" ref="D7">GetHyperlink(A7)</f>
        <v>http://www.insd.bf/n/</v>
      </c>
    </row>
    <row r="8" spans="1:4">
      <c r="A8" t="s">
        <v>39</v>
      </c>
      <c r="B8" t="s">
        <v>39</v>
      </c>
      <c r="C8" t="s">
        <v>40</v>
      </c>
      <c r="D8" t="str" cm="1">
        <f t="array" ref="D8">GetHyperlink(A8)</f>
        <v>http://www.isteebu.bi/</v>
      </c>
    </row>
    <row r="9" spans="1:4">
      <c r="A9" t="s">
        <v>44</v>
      </c>
      <c r="B9" t="s">
        <v>44</v>
      </c>
      <c r="C9" t="s">
        <v>17</v>
      </c>
      <c r="D9" t="str" cm="1">
        <f t="array" ref="D9">GetHyperlink(A9)</f>
        <v>http://www.ine.cv/</v>
      </c>
    </row>
    <row r="10" spans="1:4">
      <c r="A10" t="s">
        <v>49</v>
      </c>
      <c r="B10" t="s">
        <v>49</v>
      </c>
      <c r="C10" t="s">
        <v>50</v>
      </c>
      <c r="D10" t="str" cm="1">
        <f t="array" ref="D10">GetHyperlink(A10)</f>
        <v>http://www.statistics-cameroon.org/</v>
      </c>
    </row>
    <row r="11" spans="1:4">
      <c r="A11" t="s">
        <v>55</v>
      </c>
      <c r="B11" t="s">
        <v>55</v>
      </c>
      <c r="C11" t="s">
        <v>56</v>
      </c>
      <c r="D11" t="str" cm="1">
        <f t="array" ref="D11">GetHyperlink(A11)</f>
        <v>http://www.stat-centrafrique.com/</v>
      </c>
    </row>
    <row r="12" spans="1:4">
      <c r="A12" t="s">
        <v>61</v>
      </c>
      <c r="B12" t="s">
        <v>61</v>
      </c>
      <c r="C12" t="s">
        <v>62</v>
      </c>
      <c r="D12" t="str" cm="1">
        <f t="array" ref="D12">GetHyperlink(A12)</f>
        <v>http://www.inseed-tchad.org/</v>
      </c>
    </row>
    <row r="13" spans="1:4">
      <c r="A13" t="s">
        <v>67</v>
      </c>
      <c r="B13" t="s">
        <v>67</v>
      </c>
      <c r="C13" t="s">
        <v>68</v>
      </c>
      <c r="D13" t="str" cm="1">
        <f t="array" ref="D13">GetHyperlink(A13)</f>
        <v>http://www.cnsee.org/</v>
      </c>
    </row>
    <row r="14" spans="1:4">
      <c r="A14" t="s">
        <v>75</v>
      </c>
      <c r="B14" t="s">
        <v>75</v>
      </c>
      <c r="C14" t="s">
        <v>76</v>
      </c>
      <c r="D14" t="str" cm="1">
        <f t="array" ref="D14">GetHyperlink(A14)</f>
        <v>http://www.ins.ci/</v>
      </c>
    </row>
    <row r="15" spans="1:4">
      <c r="A15" t="s">
        <v>83</v>
      </c>
      <c r="B15" t="s">
        <v>83</v>
      </c>
      <c r="C15" t="s">
        <v>84</v>
      </c>
      <c r="D15" t="str" cm="1">
        <f t="array" ref="D15">GetHyperlink(A15)</f>
        <v>http://www.ministere-finances.dj/</v>
      </c>
    </row>
    <row r="16" spans="1:4">
      <c r="A16" t="s">
        <v>89</v>
      </c>
      <c r="B16" t="s">
        <v>89</v>
      </c>
      <c r="C16" t="s">
        <v>90</v>
      </c>
      <c r="D16" t="str" cm="1">
        <f t="array" ref="D16">GetHyperlink(A16)</f>
        <v>http://www.capmas.gov.eg/</v>
      </c>
    </row>
    <row r="17" spans="1:4">
      <c r="A17" t="s">
        <v>97</v>
      </c>
      <c r="B17" t="s">
        <v>97</v>
      </c>
      <c r="C17" t="s">
        <v>98</v>
      </c>
      <c r="D17" t="str" cm="1">
        <f t="array" ref="D17">GetHyperlink(A17)</f>
        <v>http://www.inege.gq/</v>
      </c>
    </row>
    <row r="18" spans="1:4">
      <c r="A18" t="s">
        <v>103</v>
      </c>
      <c r="B18" t="s">
        <v>103</v>
      </c>
      <c r="C18" t="s">
        <v>104</v>
      </c>
      <c r="D18" t="str" cm="1">
        <f t="array" ref="D18">GetHyperlink(A18)</f>
        <v>http://www.csa.gov.et/</v>
      </c>
    </row>
    <row r="19" spans="1:4">
      <c r="A19" t="s">
        <v>109</v>
      </c>
      <c r="B19" t="s">
        <v>109</v>
      </c>
      <c r="C19" t="s">
        <v>110</v>
      </c>
      <c r="D19" t="str" cm="1">
        <f t="array" ref="D19">GetHyperlink(A19)</f>
        <v>http://www.stat-gabon.org/</v>
      </c>
    </row>
    <row r="20" spans="1:4">
      <c r="A20" t="s">
        <v>115</v>
      </c>
      <c r="B20" t="s">
        <v>115</v>
      </c>
      <c r="C20" t="s">
        <v>116</v>
      </c>
      <c r="D20" t="str" cm="1">
        <f t="array" ref="D20">GetHyperlink(A20)</f>
        <v>http://www.gbos.gm/</v>
      </c>
    </row>
    <row r="21" spans="1:4">
      <c r="A21" t="s">
        <v>123</v>
      </c>
      <c r="B21" t="s">
        <v>123</v>
      </c>
      <c r="C21" t="s">
        <v>124</v>
      </c>
      <c r="D21" t="str" cm="1">
        <f t="array" ref="D21">GetHyperlink(A21)</f>
        <v>http://www.statsghana.gov.gh/</v>
      </c>
    </row>
    <row r="22" spans="1:4">
      <c r="A22" t="s">
        <v>128</v>
      </c>
      <c r="B22" t="s">
        <v>128</v>
      </c>
      <c r="C22" t="s">
        <v>129</v>
      </c>
      <c r="D22" t="str" cm="1">
        <f t="array" ref="D22">GetHyperlink(A22)</f>
        <v>http://www.stat-guinee.org/</v>
      </c>
    </row>
    <row r="23" spans="1:4">
      <c r="A23" t="s">
        <v>134</v>
      </c>
      <c r="B23" t="s">
        <v>134</v>
      </c>
      <c r="C23" t="s">
        <v>135</v>
      </c>
      <c r="D23" t="str" cm="1">
        <f t="array" ref="D23">GetHyperlink(A23)</f>
        <v>http://www.stat-guinebissau.com/</v>
      </c>
    </row>
    <row r="24" spans="1:4">
      <c r="A24" t="s">
        <v>139</v>
      </c>
      <c r="B24" t="s">
        <v>139</v>
      </c>
      <c r="C24" t="s">
        <v>140</v>
      </c>
      <c r="D24" t="str" cm="1">
        <f t="array" ref="D24">GetHyperlink(A24)</f>
        <v>http://www.knbs.or.ke/</v>
      </c>
    </row>
    <row r="25" spans="1:4">
      <c r="A25" t="s">
        <v>144</v>
      </c>
      <c r="B25" t="s">
        <v>144</v>
      </c>
      <c r="C25" t="s">
        <v>145</v>
      </c>
      <c r="D25" t="str" cm="1">
        <f t="array" ref="D25">GetHyperlink(A25)</f>
        <v>http://www.bos.gov.ls/</v>
      </c>
    </row>
    <row r="26" spans="1:4">
      <c r="A26" t="s">
        <v>150</v>
      </c>
      <c r="B26" t="s">
        <v>150</v>
      </c>
      <c r="C26" t="s">
        <v>151</v>
      </c>
      <c r="D26" t="str" cm="1">
        <f t="array" ref="D26">GetHyperlink(A26)</f>
        <v>http://www.tlcafrica.com/lisgis/lisgis.htm</v>
      </c>
    </row>
    <row r="27" spans="1:4">
      <c r="A27" t="s">
        <v>156</v>
      </c>
      <c r="B27" t="s">
        <v>156</v>
      </c>
      <c r="C27" t="s">
        <v>157</v>
      </c>
      <c r="D27" t="str" cm="1">
        <f t="array" ref="D27">GetHyperlink(A27)</f>
        <v>http://www.bsc.ly/</v>
      </c>
    </row>
    <row r="28" spans="1:4">
      <c r="A28" t="s">
        <v>161</v>
      </c>
      <c r="B28" t="s">
        <v>161</v>
      </c>
      <c r="C28" t="s">
        <v>76</v>
      </c>
      <c r="D28" t="str" cm="1">
        <f t="array" ref="D28">GetHyperlink(A28)</f>
        <v>http://www.instat.mg/</v>
      </c>
    </row>
    <row r="29" spans="1:4">
      <c r="A29" t="s">
        <v>165</v>
      </c>
      <c r="B29" t="s">
        <v>165</v>
      </c>
      <c r="C29" t="s">
        <v>166</v>
      </c>
      <c r="D29" t="str" cm="1">
        <f t="array" ref="D29">GetHyperlink(A29)</f>
        <v>http://www.nsomalawi.mw/</v>
      </c>
    </row>
    <row r="30" spans="1:4">
      <c r="A30" t="s">
        <v>171</v>
      </c>
      <c r="B30" t="s">
        <v>171</v>
      </c>
      <c r="C30" t="s">
        <v>172</v>
      </c>
      <c r="D30" t="str" cm="1">
        <f t="array" ref="D30">GetHyperlink(A30)</f>
        <v>http://www.instat-mali.org/</v>
      </c>
    </row>
    <row r="31" spans="1:4">
      <c r="A31" t="s">
        <v>177</v>
      </c>
      <c r="B31" t="s">
        <v>177</v>
      </c>
      <c r="C31" t="s">
        <v>178</v>
      </c>
      <c r="D31" t="str" cm="1">
        <f t="array" ref="D31">GetHyperlink(A31)</f>
        <v>http://www.ons.mr/</v>
      </c>
    </row>
    <row r="32" spans="1:4">
      <c r="A32" t="s">
        <v>183</v>
      </c>
      <c r="B32" t="s">
        <v>183</v>
      </c>
      <c r="C32" t="s">
        <v>184</v>
      </c>
      <c r="D32" t="str" cm="1">
        <f t="array" ref="D32">GetHyperlink(A32)</f>
        <v>http://statsmauritius.govmu.org/English/Pages/default.aspx</v>
      </c>
    </row>
    <row r="33" spans="1:4">
      <c r="A33" t="s">
        <v>189</v>
      </c>
      <c r="B33" t="s">
        <v>189</v>
      </c>
      <c r="C33" t="s">
        <v>190</v>
      </c>
      <c r="D33" t="str" cm="1">
        <f t="array" ref="D33">GetHyperlink(A33)</f>
        <v>http://www.hcp.ma/</v>
      </c>
    </row>
    <row r="34" spans="1:4">
      <c r="A34" t="s">
        <v>194</v>
      </c>
      <c r="B34" t="s">
        <v>194</v>
      </c>
      <c r="C34" t="s">
        <v>17</v>
      </c>
      <c r="D34" t="str" cm="1">
        <f t="array" ref="D34">GetHyperlink(A34)</f>
        <v>http://www.ine.gov.mz/</v>
      </c>
    </row>
    <row r="35" spans="1:4">
      <c r="A35" t="s">
        <v>198</v>
      </c>
      <c r="B35" t="s">
        <v>198</v>
      </c>
      <c r="C35" t="s">
        <v>199</v>
      </c>
      <c r="D35" t="str" cm="1">
        <f t="array" ref="D35">GetHyperlink(A35)</f>
        <v>http://www.npc.gov.na/cbs/index.htm</v>
      </c>
    </row>
    <row r="36" spans="1:4">
      <c r="A36" t="s">
        <v>203</v>
      </c>
      <c r="B36" t="s">
        <v>203</v>
      </c>
      <c r="C36" t="s">
        <v>76</v>
      </c>
      <c r="D36" t="str" cm="1">
        <f t="array" ref="D36">GetHyperlink(A36)</f>
        <v>http://www.stat-niger.org/</v>
      </c>
    </row>
    <row r="37" spans="1:4">
      <c r="A37" t="s">
        <v>208</v>
      </c>
      <c r="B37" t="s">
        <v>208</v>
      </c>
      <c r="C37" t="s">
        <v>140</v>
      </c>
      <c r="D37" t="str" cm="1">
        <f t="array" ref="D37">GetHyperlink(A37)</f>
        <v>http://www.nigerianstat.gov.ng/</v>
      </c>
    </row>
    <row r="38" spans="1:4">
      <c r="A38" t="s">
        <v>212</v>
      </c>
      <c r="B38" t="s">
        <v>212</v>
      </c>
      <c r="C38" t="s">
        <v>213</v>
      </c>
      <c r="D38" t="str" cm="1">
        <f t="array" ref="D38">GetHyperlink(A38)</f>
        <v>http://www.statistics.gov.rw/</v>
      </c>
    </row>
    <row r="39" spans="1:4">
      <c r="A39" t="s">
        <v>218</v>
      </c>
      <c r="B39" t="s">
        <v>218</v>
      </c>
      <c r="C39" t="s">
        <v>219</v>
      </c>
      <c r="D39" t="str" cm="1">
        <f t="array" ref="D39">GetHyperlink(A39)</f>
        <v>http://www.ine.st/</v>
      </c>
    </row>
    <row r="40" spans="1:4">
      <c r="A40" t="s">
        <v>226</v>
      </c>
      <c r="B40" t="s">
        <v>226</v>
      </c>
      <c r="C40" t="s">
        <v>227</v>
      </c>
      <c r="D40" t="str" cm="1">
        <f t="array" ref="D40">GetHyperlink(A40)</f>
        <v>http://www.ansd.sn/</v>
      </c>
    </row>
    <row r="41" spans="1:4">
      <c r="A41" t="s">
        <v>231</v>
      </c>
      <c r="B41" t="s">
        <v>231</v>
      </c>
      <c r="C41" t="s">
        <v>140</v>
      </c>
      <c r="D41" t="str" cm="1">
        <f t="array" ref="D41">GetHyperlink(A41)</f>
        <v>http://www.nsb.gov.sc/</v>
      </c>
    </row>
    <row r="42" spans="1:4">
      <c r="A42" t="s">
        <v>235</v>
      </c>
      <c r="B42" t="s">
        <v>235</v>
      </c>
      <c r="C42" t="s">
        <v>236</v>
      </c>
      <c r="D42" t="str" cm="1">
        <f t="array" ref="D42">GetHyperlink(A42)</f>
        <v>http://www.statistics.sl/</v>
      </c>
    </row>
    <row r="43" spans="1:4">
      <c r="A43" t="s">
        <v>241</v>
      </c>
      <c r="B43" t="s">
        <v>241</v>
      </c>
      <c r="C43" t="s">
        <v>242</v>
      </c>
      <c r="D43" t="str" cm="1">
        <f t="array" ref="D43">GetHyperlink(A43)</f>
        <v>http://www.statssa.gov.za/</v>
      </c>
    </row>
    <row r="44" spans="1:4">
      <c r="A44" t="s">
        <v>247</v>
      </c>
      <c r="B44" t="s">
        <v>247</v>
      </c>
      <c r="C44" t="s">
        <v>140</v>
      </c>
      <c r="D44" t="str" cm="1">
        <f t="array" ref="D44">GetHyperlink(A44)</f>
        <v>http://ssnbs.org/</v>
      </c>
    </row>
    <row r="45" spans="1:4">
      <c r="A45" t="s">
        <v>252</v>
      </c>
      <c r="B45" t="s">
        <v>252</v>
      </c>
      <c r="C45" t="s">
        <v>253</v>
      </c>
      <c r="D45" t="str" cm="1">
        <f t="array" ref="D45">GetHyperlink(A45)</f>
        <v>http://www.sainthelena.gov.sh/statistics/</v>
      </c>
    </row>
    <row r="46" spans="1:4">
      <c r="A46" t="s">
        <v>258</v>
      </c>
      <c r="B46" t="s">
        <v>258</v>
      </c>
      <c r="C46" t="s">
        <v>199</v>
      </c>
      <c r="D46" t="str" cm="1">
        <f t="array" ref="D46">GetHyperlink(A46)</f>
        <v>http://www.cbs.gov.sd/</v>
      </c>
    </row>
    <row r="47" spans="1:4">
      <c r="A47" t="s">
        <v>263</v>
      </c>
      <c r="B47" t="s">
        <v>263</v>
      </c>
      <c r="C47" t="s">
        <v>28</v>
      </c>
      <c r="D47" t="str" cm="1">
        <f t="array" ref="D47">GetHyperlink(A47)</f>
        <v>http://www.swazistats.org.sz/</v>
      </c>
    </row>
    <row r="48" spans="1:4">
      <c r="A48" t="s">
        <v>270</v>
      </c>
      <c r="B48" t="s">
        <v>270</v>
      </c>
      <c r="C48" t="s">
        <v>271</v>
      </c>
      <c r="D48" t="str" cm="1">
        <f t="array" ref="D48">GetHyperlink(A48)</f>
        <v>http://www.stat-togo.org/</v>
      </c>
    </row>
    <row r="49" spans="1:4">
      <c r="A49" t="s">
        <v>274</v>
      </c>
      <c r="B49" t="s">
        <v>274</v>
      </c>
      <c r="C49" t="s">
        <v>275</v>
      </c>
      <c r="D49" t="str" cm="1">
        <f t="array" ref="D49">GetHyperlink(A49)</f>
        <v>http://www.ins.nat.tn/</v>
      </c>
    </row>
    <row r="50" spans="1:4">
      <c r="A50" t="s">
        <v>280</v>
      </c>
      <c r="B50" t="s">
        <v>280</v>
      </c>
      <c r="C50" t="s">
        <v>281</v>
      </c>
      <c r="D50" t="str" cm="1">
        <f t="array" ref="D50">GetHyperlink(A50)</f>
        <v>http://www.ubos.org/</v>
      </c>
    </row>
    <row r="51" spans="1:4">
      <c r="A51" t="s">
        <v>284</v>
      </c>
      <c r="B51" t="s">
        <v>284</v>
      </c>
      <c r="C51" t="s">
        <v>140</v>
      </c>
      <c r="D51" t="str" cm="1">
        <f t="array" ref="D51">GetHyperlink(A51)</f>
        <v>http://www.nbs.go.tz/</v>
      </c>
    </row>
    <row r="52" spans="1:4">
      <c r="A52" t="s">
        <v>291</v>
      </c>
      <c r="B52" t="s">
        <v>291</v>
      </c>
      <c r="C52" t="s">
        <v>292</v>
      </c>
      <c r="D52" t="str" cm="1">
        <f t="array" ref="D52">GetHyperlink(A52)</f>
        <v>http://www.zamstats.gov.zm/</v>
      </c>
    </row>
    <row r="53" spans="1:4">
      <c r="A53" t="s">
        <v>297</v>
      </c>
      <c r="B53" t="s">
        <v>297</v>
      </c>
      <c r="C53" t="s">
        <v>298</v>
      </c>
      <c r="D53" t="str" cm="1">
        <f t="array" ref="D53">GetHyperlink(A53)</f>
        <v>http://www.zimstat.co.zw/</v>
      </c>
    </row>
    <row r="54" spans="1:4">
      <c r="A54" t="s">
        <v>303</v>
      </c>
      <c r="B54" t="s">
        <v>303</v>
      </c>
      <c r="C54" t="s">
        <v>304</v>
      </c>
      <c r="D54" t="str" cm="1">
        <f t="array" ref="D54">GetHyperlink(A54)</f>
        <v>http://www.gov.ai/statistics/</v>
      </c>
    </row>
    <row r="55" spans="1:4">
      <c r="A55" t="s">
        <v>53</v>
      </c>
      <c r="B55" t="s">
        <v>53</v>
      </c>
      <c r="C55" t="s">
        <v>308</v>
      </c>
      <c r="D55" t="str" cm="1">
        <f t="array" ref="D55">GetHyperlink(A55)</f>
        <v>https://www.indec.gob.ar/</v>
      </c>
    </row>
    <row r="56" spans="1:4">
      <c r="A56" t="s">
        <v>65</v>
      </c>
      <c r="B56" t="s">
        <v>65</v>
      </c>
      <c r="C56" t="s">
        <v>199</v>
      </c>
      <c r="D56" t="str" cm="1">
        <f t="array" ref="D56">GetHyperlink(A56)</f>
        <v>http://www.cbs.aw/</v>
      </c>
    </row>
    <row r="57" spans="1:4">
      <c r="A57" t="s">
        <v>315</v>
      </c>
      <c r="B57" t="s">
        <v>315</v>
      </c>
      <c r="C57" t="s">
        <v>316</v>
      </c>
      <c r="D57" t="str" cm="1">
        <f t="array" ref="D57">GetHyperlink(A57)</f>
        <v>http://statistics.bahamas.gov.bs/</v>
      </c>
    </row>
    <row r="58" spans="1:4">
      <c r="A58" t="s">
        <v>113</v>
      </c>
      <c r="B58" t="s">
        <v>113</v>
      </c>
      <c r="C58" t="s">
        <v>319</v>
      </c>
      <c r="D58" t="str" cm="1">
        <f t="array" ref="D58">GetHyperlink(A58)</f>
        <v>http://www.barstats.gov.bb/</v>
      </c>
    </row>
    <row r="59" spans="1:4">
      <c r="A59" t="s">
        <v>132</v>
      </c>
      <c r="B59" t="s">
        <v>132</v>
      </c>
      <c r="C59" t="s">
        <v>323</v>
      </c>
      <c r="D59" t="str" cm="1">
        <f t="array" ref="D59">GetHyperlink(A59)</f>
        <v>http://sib.org.bz/</v>
      </c>
    </row>
    <row r="60" spans="1:4">
      <c r="A60" t="s">
        <v>142</v>
      </c>
      <c r="B60" t="s">
        <v>142</v>
      </c>
      <c r="C60" t="s">
        <v>316</v>
      </c>
      <c r="D60" t="str" cm="1">
        <f t="array" ref="D60">GetHyperlink(A60)</f>
        <v>http://www.seaexpress.bm/portal/server.pt?open=512&amp;objID=227&amp;mode=2&amp;in_hi_userid=2&amp;cached=true</v>
      </c>
    </row>
    <row r="61" spans="1:4">
      <c r="A61" t="s">
        <v>154</v>
      </c>
      <c r="B61" t="s">
        <v>154</v>
      </c>
      <c r="C61" t="s">
        <v>330</v>
      </c>
      <c r="D61" t="str" cm="1">
        <f t="array" ref="D61">GetHyperlink(A61)</f>
        <v>http://www.ine.gob.bo/</v>
      </c>
    </row>
    <row r="62" spans="1:4">
      <c r="A62" t="s">
        <v>169</v>
      </c>
      <c r="B62" t="s">
        <v>169</v>
      </c>
      <c r="C62" t="s">
        <v>332</v>
      </c>
      <c r="D62" t="str" cm="1">
        <f t="array" ref="D62">GetHyperlink(A62)</f>
        <v>http://www.ibge.gov.br/</v>
      </c>
    </row>
    <row r="63" spans="1:4">
      <c r="A63" t="s">
        <v>216</v>
      </c>
      <c r="B63" t="s">
        <v>216</v>
      </c>
      <c r="C63" t="s">
        <v>336</v>
      </c>
      <c r="D63" t="str" cm="1">
        <f t="array" ref="D63">GetHyperlink(A63)</f>
        <v>http://www.statcan.gc.ca/</v>
      </c>
    </row>
    <row r="64" spans="1:4">
      <c r="A64" t="s">
        <v>339</v>
      </c>
      <c r="B64" t="s">
        <v>339</v>
      </c>
      <c r="C64" t="s">
        <v>340</v>
      </c>
      <c r="D64" t="str" cm="1">
        <f t="array" ref="D64">GetHyperlink(A64)</f>
        <v>http://www.eso.ky/</v>
      </c>
    </row>
    <row r="65" spans="1:4">
      <c r="A65" t="s">
        <v>245</v>
      </c>
      <c r="B65" t="s">
        <v>245</v>
      </c>
      <c r="C65" t="s">
        <v>344</v>
      </c>
      <c r="D65" t="str" cm="1">
        <f t="array" ref="D65">GetHyperlink(A65)</f>
        <v>http://www.ine.cl/</v>
      </c>
    </row>
    <row r="66" spans="1:4">
      <c r="A66" t="s">
        <v>256</v>
      </c>
      <c r="B66" t="s">
        <v>256</v>
      </c>
      <c r="C66" t="s">
        <v>348</v>
      </c>
      <c r="D66" t="str" cm="1">
        <f t="array" ref="D66">GetHyperlink(A66)</f>
        <v>http://www.dane.gov.co/</v>
      </c>
    </row>
    <row r="67" spans="1:4">
      <c r="A67" t="s">
        <v>278</v>
      </c>
      <c r="B67" t="s">
        <v>278</v>
      </c>
      <c r="C67" t="s">
        <v>308</v>
      </c>
      <c r="D67" t="str" cm="1">
        <f t="array" ref="D67">GetHyperlink(A67)</f>
        <v>http://www.inec.go.cr/</v>
      </c>
    </row>
    <row r="68" spans="1:4">
      <c r="A68" t="s">
        <v>295</v>
      </c>
      <c r="B68" t="s">
        <v>295</v>
      </c>
      <c r="C68" t="s">
        <v>352</v>
      </c>
      <c r="D68" t="str" cm="1">
        <f t="array" ref="D68">GetHyperlink(A68)</f>
        <v>http://www.one.cu/</v>
      </c>
    </row>
    <row r="69" spans="1:4">
      <c r="A69" t="s">
        <v>301</v>
      </c>
      <c r="B69" t="s">
        <v>301</v>
      </c>
      <c r="C69" t="s">
        <v>199</v>
      </c>
      <c r="D69" t="str" cm="1">
        <f t="array" ref="D69">GetHyperlink(A69)</f>
        <v>http://www.cbs.cw/</v>
      </c>
    </row>
    <row r="70" spans="1:4">
      <c r="A70" t="s">
        <v>325</v>
      </c>
      <c r="B70" t="s">
        <v>325</v>
      </c>
      <c r="C70" t="s">
        <v>359</v>
      </c>
      <c r="D70" t="str" cm="1">
        <f t="array" ref="D70">GetHyperlink(A70)</f>
        <v>http://www.one.gob.do/</v>
      </c>
    </row>
    <row r="71" spans="1:4">
      <c r="A71" t="s">
        <v>328</v>
      </c>
      <c r="B71" t="s">
        <v>328</v>
      </c>
      <c r="C71" t="s">
        <v>363</v>
      </c>
      <c r="D71" t="str" cm="1">
        <f t="array" ref="D71">GetHyperlink(A71)</f>
        <v>http://www.ecuadorencifras.gob.ec/</v>
      </c>
    </row>
    <row r="72" spans="1:4">
      <c r="A72" t="s">
        <v>334</v>
      </c>
      <c r="B72" t="s">
        <v>334</v>
      </c>
      <c r="C72" t="s">
        <v>367</v>
      </c>
      <c r="D72" t="str" cm="1">
        <f t="array" ref="D72">GetHyperlink(A72)</f>
        <v>http://www.digestyc.gob.sv/</v>
      </c>
    </row>
    <row r="73" spans="1:4">
      <c r="A73" t="s">
        <v>371</v>
      </c>
      <c r="B73" t="s">
        <v>371</v>
      </c>
      <c r="C73" t="s">
        <v>330</v>
      </c>
      <c r="D73" t="str" cm="1">
        <f t="array" ref="D73">GetHyperlink(A73)</f>
        <v>http://www.ine.gob.gt/</v>
      </c>
    </row>
    <row r="74" spans="1:4">
      <c r="A74" t="s">
        <v>374</v>
      </c>
      <c r="B74" t="s">
        <v>374</v>
      </c>
      <c r="C74" t="s">
        <v>375</v>
      </c>
      <c r="D74" t="str" cm="1">
        <f t="array" ref="D74">GetHyperlink(A74)</f>
        <v>http://www.statisticsguyana.gov.gy/</v>
      </c>
    </row>
    <row r="75" spans="1:4">
      <c r="A75" t="s">
        <v>377</v>
      </c>
      <c r="B75" t="s">
        <v>377</v>
      </c>
      <c r="C75" t="s">
        <v>378</v>
      </c>
      <c r="D75" t="str" cm="1">
        <f t="array" ref="D75">GetHyperlink(A75)</f>
        <v>http://www.ihsi.ht/</v>
      </c>
    </row>
    <row r="76" spans="1:4">
      <c r="A76" t="s">
        <v>382</v>
      </c>
      <c r="B76" t="s">
        <v>382</v>
      </c>
      <c r="C76" t="s">
        <v>383</v>
      </c>
      <c r="D76" t="str" cm="1">
        <f t="array" ref="D76">GetHyperlink(A76)</f>
        <v>https://www.ine.gob.hn/V3/</v>
      </c>
    </row>
    <row r="77" spans="1:4">
      <c r="A77" t="s">
        <v>387</v>
      </c>
      <c r="B77" t="s">
        <v>387</v>
      </c>
      <c r="C77" t="s">
        <v>388</v>
      </c>
      <c r="D77" t="str" cm="1">
        <f t="array" ref="D77">GetHyperlink(A77)</f>
        <v>http://www.statinja.gov.jm/</v>
      </c>
    </row>
    <row r="78" spans="1:4">
      <c r="A78" t="s">
        <v>391</v>
      </c>
      <c r="B78" t="s">
        <v>391</v>
      </c>
      <c r="C78" t="s">
        <v>392</v>
      </c>
      <c r="D78" t="str" cm="1">
        <f t="array" ref="D78">GetHyperlink(A78)</f>
        <v>http://www.inegi.org.mx/</v>
      </c>
    </row>
    <row r="79" spans="1:4">
      <c r="A79" t="s">
        <v>396</v>
      </c>
      <c r="B79" t="s">
        <v>396</v>
      </c>
      <c r="C79" t="s">
        <v>397</v>
      </c>
      <c r="D79" t="str" cm="1">
        <f t="array" ref="D79">GetHyperlink(A79)</f>
        <v>http://www.inide.gob.ni/</v>
      </c>
    </row>
    <row r="80" spans="1:4">
      <c r="A80" t="s">
        <v>401</v>
      </c>
      <c r="B80" t="s">
        <v>401</v>
      </c>
      <c r="C80" t="s">
        <v>402</v>
      </c>
      <c r="D80" t="str" cm="1">
        <f t="array" ref="D80">GetHyperlink(A80)</f>
        <v>http://www.contraloria.gob.pa/inec/</v>
      </c>
    </row>
    <row r="81" spans="1:4">
      <c r="A81" t="s">
        <v>406</v>
      </c>
      <c r="B81" t="s">
        <v>406</v>
      </c>
      <c r="C81" t="s">
        <v>407</v>
      </c>
      <c r="D81" t="str" cm="1">
        <f t="array" ref="D81">GetHyperlink(A81)</f>
        <v>http://www.dgeec.gov.py/</v>
      </c>
    </row>
    <row r="82" spans="1:4">
      <c r="A82" t="s">
        <v>411</v>
      </c>
      <c r="B82" t="s">
        <v>411</v>
      </c>
      <c r="C82" t="s">
        <v>412</v>
      </c>
      <c r="D82" t="str" cm="1">
        <f t="array" ref="D82">GetHyperlink(A82)</f>
        <v>http://www.inei.gob.pe/</v>
      </c>
    </row>
    <row r="83" spans="1:4">
      <c r="A83" t="s">
        <v>416</v>
      </c>
      <c r="B83" t="s">
        <v>416</v>
      </c>
      <c r="C83" t="s">
        <v>417</v>
      </c>
      <c r="D83" t="str" cm="1">
        <f t="array" ref="D83">GetHyperlink(A83)</f>
        <v>http://www.stats.gov.lc/</v>
      </c>
    </row>
    <row r="84" spans="1:4">
      <c r="A84" t="s">
        <v>422</v>
      </c>
      <c r="B84" t="s">
        <v>422</v>
      </c>
      <c r="C84" t="s">
        <v>316</v>
      </c>
      <c r="D84" t="str" cm="1">
        <f t="array" ref="D84">GetHyperlink(A84)</f>
        <v>http://www.sintmaartengov.org/Government/Ministry of Tourism Economic Affairs Transport and Telecommunication/stat/Pages/Statistics.aspx</v>
      </c>
    </row>
    <row r="85" spans="1:4">
      <c r="A85" t="s">
        <v>427</v>
      </c>
      <c r="B85" t="s">
        <v>427</v>
      </c>
      <c r="C85" t="s">
        <v>428</v>
      </c>
      <c r="D85" t="str" cm="1">
        <f t="array" ref="D85">GetHyperlink(A85)</f>
        <v>http://www.statistics-suriname.org/</v>
      </c>
    </row>
    <row r="86" spans="1:4">
      <c r="A86" t="s">
        <v>431</v>
      </c>
      <c r="B86" t="s">
        <v>431</v>
      </c>
      <c r="C86" t="s">
        <v>28</v>
      </c>
      <c r="D86" t="str" cm="1">
        <f t="array" ref="D86">GetHyperlink(A86)</f>
        <v>http://www.cso.gov.tt/</v>
      </c>
    </row>
    <row r="87" spans="1:4">
      <c r="A87" t="s">
        <v>434</v>
      </c>
      <c r="B87" t="s">
        <v>434</v>
      </c>
      <c r="C87" t="s">
        <v>435</v>
      </c>
      <c r="D87" t="str" cm="1">
        <f t="array" ref="D87">GetHyperlink(A87)</f>
        <v>http://www.depstc.org/</v>
      </c>
    </row>
    <row r="88" spans="1:4">
      <c r="A88" t="s">
        <v>439</v>
      </c>
      <c r="B88" t="s">
        <v>439</v>
      </c>
      <c r="C88" t="s">
        <v>330</v>
      </c>
      <c r="D88" t="str" cm="1">
        <f t="array" ref="D88">GetHyperlink(A88)</f>
        <v>http://www.ine.gub.uy/</v>
      </c>
    </row>
    <row r="89" spans="1:4">
      <c r="A89" t="s">
        <v>442</v>
      </c>
      <c r="B89" t="s">
        <v>442</v>
      </c>
      <c r="C89" t="s">
        <v>443</v>
      </c>
      <c r="D89" t="str" cm="1">
        <f t="array" ref="D89">GetHyperlink(A89)</f>
        <v>https://fedstats.sites.usa.gov/</v>
      </c>
    </row>
    <row r="90" spans="1:4">
      <c r="C90" t="s">
        <v>447</v>
      </c>
      <c r="D90" t="str" cm="1">
        <f t="array" ref="D90">GetHyperlink(A90)</f>
        <v>http://www.census.gov/</v>
      </c>
    </row>
    <row r="91" spans="1:4">
      <c r="C91" t="s">
        <v>451</v>
      </c>
      <c r="D91" t="str" cm="1">
        <f t="array" ref="D91">GetHyperlink(A91)</f>
        <v>http://www.bea.gov/</v>
      </c>
    </row>
    <row r="92" spans="1:4">
      <c r="C92" t="s">
        <v>455</v>
      </c>
      <c r="D92" t="str" cm="1">
        <f t="array" ref="D92">GetHyperlink(A92)</f>
        <v>http://www.ojp.usdoj.gov/bjs/</v>
      </c>
    </row>
    <row r="93" spans="1:4">
      <c r="C93" t="s">
        <v>459</v>
      </c>
      <c r="D93" t="str" cm="1">
        <f t="array" ref="D93">GetHyperlink(A93)</f>
        <v>http://stats.bls.gov/</v>
      </c>
    </row>
    <row r="94" spans="1:4">
      <c r="C94" t="s">
        <v>463</v>
      </c>
      <c r="D94" t="str" cm="1">
        <f t="array" ref="D94">GetHyperlink(A94)</f>
        <v>http://www.bts.gov/</v>
      </c>
    </row>
    <row r="95" spans="1:4">
      <c r="C95" t="s">
        <v>467</v>
      </c>
      <c r="D95" t="str" cm="1">
        <f t="array" ref="D95">GetHyperlink(A95)</f>
        <v>http://www.publicadministration.net/resources/a-historical-look-at-the-stat-usa-project/</v>
      </c>
    </row>
    <row r="96" spans="1:4">
      <c r="C96" t="s">
        <v>471</v>
      </c>
      <c r="D96" t="str" cm="1">
        <f t="array" ref="D96">GetHyperlink(A96)</f>
        <v>http://www.eia.doe.gov/</v>
      </c>
    </row>
    <row r="97" spans="1:4">
      <c r="C97" t="s">
        <v>475</v>
      </c>
      <c r="D97" t="str" cm="1">
        <f t="array" ref="D97">GetHyperlink(A97)</f>
        <v>http://www.cdc.gov/nchswww/</v>
      </c>
    </row>
    <row r="98" spans="1:4">
      <c r="C98" t="s">
        <v>479</v>
      </c>
      <c r="D98" t="str" cm="1">
        <f t="array" ref="D98">GetHyperlink(A98)</f>
        <v>http://www.ed.gov/NCES/</v>
      </c>
    </row>
    <row r="99" spans="1:4">
      <c r="C99" t="s">
        <v>483</v>
      </c>
      <c r="D99" t="str" cm="1">
        <f t="array" ref="D99">GetHyperlink(A99)</f>
        <v>http://www.ers.usda.gov/</v>
      </c>
    </row>
    <row r="100" spans="1:4">
      <c r="A100" t="s">
        <v>487</v>
      </c>
      <c r="B100" t="s">
        <v>487</v>
      </c>
      <c r="C100" t="s">
        <v>330</v>
      </c>
      <c r="D100" t="str" cm="1">
        <f t="array" ref="D100">GetHyperlink(A100)</f>
        <v>http://www.ine.gov.ve/</v>
      </c>
    </row>
    <row r="101" spans="1:4">
      <c r="A101" t="s">
        <v>492</v>
      </c>
      <c r="B101" t="s">
        <v>492</v>
      </c>
      <c r="C101" t="s">
        <v>493</v>
      </c>
      <c r="D101" t="str" cm="1">
        <f t="array" ref="D101">GetHyperlink(A101)</f>
        <v>http://www.armstat.am/</v>
      </c>
    </row>
    <row r="102" spans="1:4">
      <c r="A102" t="s">
        <v>497</v>
      </c>
      <c r="B102" t="s">
        <v>497</v>
      </c>
      <c r="C102" t="s">
        <v>498</v>
      </c>
      <c r="D102" t="str" cm="1">
        <f t="array" ref="D102">GetHyperlink(A102)</f>
        <v>https://www.stat.gov.az/?lang=en</v>
      </c>
    </row>
    <row r="103" spans="1:4">
      <c r="A103" t="s">
        <v>502</v>
      </c>
      <c r="B103" t="s">
        <v>502</v>
      </c>
      <c r="C103" t="s">
        <v>503</v>
      </c>
      <c r="D103" t="str" cm="1">
        <f t="array" ref="D103">GetHyperlink(A103)</f>
        <v>http://www.cio.gov.bh/</v>
      </c>
    </row>
    <row r="104" spans="1:4">
      <c r="A104" t="s">
        <v>507</v>
      </c>
      <c r="B104" t="s">
        <v>507</v>
      </c>
      <c r="C104" t="s">
        <v>375</v>
      </c>
      <c r="D104" t="str" cm="1">
        <f t="array" ref="D104">GetHyperlink(A104)</f>
        <v>http://www.bbs.gov.bd/</v>
      </c>
    </row>
    <row r="105" spans="1:4">
      <c r="A105" t="s">
        <v>510</v>
      </c>
      <c r="B105" t="s">
        <v>510</v>
      </c>
      <c r="C105" t="s">
        <v>511</v>
      </c>
      <c r="D105" t="str" cm="1">
        <f t="array" ref="D105">GetHyperlink(A105)</f>
        <v>http://www.nsb.gov.bt/</v>
      </c>
    </row>
    <row r="106" spans="1:4">
      <c r="A106" t="s">
        <v>515</v>
      </c>
      <c r="B106" t="s">
        <v>515</v>
      </c>
      <c r="C106" t="s">
        <v>516</v>
      </c>
      <c r="D106" t="str" cm="1">
        <f t="array" ref="D106">GetHyperlink(A106)</f>
        <v>http://www.depd.gov.bn/dept_dos.html</v>
      </c>
    </row>
    <row r="107" spans="1:4">
      <c r="A107" t="s">
        <v>520</v>
      </c>
      <c r="B107" t="s">
        <v>520</v>
      </c>
      <c r="C107" t="s">
        <v>521</v>
      </c>
      <c r="D107" t="str" cm="1">
        <f t="array" ref="D107">GetHyperlink(A107)</f>
        <v>http://www.nis.gov.kh/</v>
      </c>
    </row>
    <row r="108" spans="1:4">
      <c r="A108" t="s">
        <v>525</v>
      </c>
      <c r="B108" t="s">
        <v>525</v>
      </c>
      <c r="C108" t="s">
        <v>526</v>
      </c>
      <c r="D108" t="str" cm="1">
        <f t="array" ref="D108">GetHyperlink(A108)</f>
        <v>http://www.stats.gov.cn/</v>
      </c>
    </row>
    <row r="109" spans="1:4">
      <c r="A109" t="s">
        <v>530</v>
      </c>
      <c r="B109" t="s">
        <v>530</v>
      </c>
      <c r="C109" t="s">
        <v>531</v>
      </c>
      <c r="D109" t="str" cm="1">
        <f t="array" ref="D109">GetHyperlink(A109)</f>
        <v>http://www.censtatd.gov.hk/</v>
      </c>
    </row>
    <row r="110" spans="1:4">
      <c r="A110" t="s">
        <v>536</v>
      </c>
      <c r="B110" t="s">
        <v>536</v>
      </c>
      <c r="C110" t="s">
        <v>537</v>
      </c>
      <c r="D110" t="str" cm="1">
        <f t="array" ref="D110">GetHyperlink(A110)</f>
        <v>http://www.dsec.gov.mo/</v>
      </c>
    </row>
    <row r="111" spans="1:4">
      <c r="A111" t="s">
        <v>544</v>
      </c>
      <c r="B111" t="s">
        <v>544</v>
      </c>
      <c r="C111" t="s">
        <v>545</v>
      </c>
      <c r="D111" t="str" cm="1">
        <f t="array" ref="D111">GetHyperlink(A111)</f>
        <v>http://www.mof.gov.cy/mof/cystat/statistics.nsf</v>
      </c>
    </row>
    <row r="112" spans="1:4">
      <c r="A112" t="s">
        <v>549</v>
      </c>
      <c r="B112" t="s">
        <v>549</v>
      </c>
      <c r="C112" t="s">
        <v>550</v>
      </c>
      <c r="D112" t="str" cm="1">
        <f t="array" ref="D112">GetHyperlink(A112)</f>
        <v>http://www.geostat.ge/index.php?lang=eng</v>
      </c>
    </row>
    <row r="113" spans="1:4">
      <c r="A113" t="s">
        <v>554</v>
      </c>
      <c r="B113" t="s">
        <v>554</v>
      </c>
      <c r="C113" t="s">
        <v>555</v>
      </c>
      <c r="D113" t="str" cm="1">
        <f t="array" ref="D113">GetHyperlink(A113)</f>
        <v>http://www.mospi.gov.in/</v>
      </c>
    </row>
    <row r="114" spans="1:4">
      <c r="A114" t="s">
        <v>559</v>
      </c>
      <c r="B114" t="s">
        <v>559</v>
      </c>
      <c r="C114" t="s">
        <v>560</v>
      </c>
      <c r="D114" t="str" cm="1">
        <f t="array" ref="D114">GetHyperlink(A114)</f>
        <v>http://www.bps.go.id/</v>
      </c>
    </row>
    <row r="115" spans="1:4">
      <c r="A115" t="s">
        <v>563</v>
      </c>
      <c r="B115" t="s">
        <v>563</v>
      </c>
      <c r="C115" t="s">
        <v>564</v>
      </c>
      <c r="D115" t="str" cm="1">
        <f t="array" ref="D115">GetHyperlink(A115)</f>
        <v>http://www.amar.org.ir/</v>
      </c>
    </row>
    <row r="116" spans="1:4">
      <c r="A116" t="s">
        <v>568</v>
      </c>
      <c r="B116" t="s">
        <v>568</v>
      </c>
      <c r="C116" t="s">
        <v>569</v>
      </c>
      <c r="D116" t="str" cm="1">
        <f t="array" ref="D116">GetHyperlink(A116)</f>
        <v>http://cosit.gov.iq/english/index.php</v>
      </c>
    </row>
    <row r="117" spans="1:4">
      <c r="A117" t="s">
        <v>572</v>
      </c>
      <c r="B117" t="s">
        <v>572</v>
      </c>
      <c r="C117" t="s">
        <v>199</v>
      </c>
      <c r="D117" t="str" cm="1">
        <f t="array" ref="D117">GetHyperlink(A117)</f>
        <v>http://www.cbs.gov.il/</v>
      </c>
    </row>
    <row r="118" spans="1:4">
      <c r="A118" t="s">
        <v>495</v>
      </c>
      <c r="B118" t="s">
        <v>495</v>
      </c>
      <c r="D118" t="str" cm="1">
        <f t="array" ref="D118">GetHyperlink(A118)</f>
        <v/>
      </c>
    </row>
    <row r="119" spans="1:4">
      <c r="C119" t="s">
        <v>576</v>
      </c>
      <c r="D119" t="str" cm="1">
        <f t="array" ref="D119">GetHyperlink(A119)</f>
        <v>http://www.soumu.go.jp/english/dgpp_ss/seido/guide/2011ver/07.htm</v>
      </c>
    </row>
    <row r="120" spans="1:4">
      <c r="C120" t="s">
        <v>580</v>
      </c>
      <c r="D120" t="str" cm="1">
        <f t="array" ref="D120">GetHyperlink(A120)</f>
        <v>http://www.stat.go.jp/</v>
      </c>
    </row>
    <row r="121" spans="1:4">
      <c r="A121" t="s">
        <v>584</v>
      </c>
      <c r="B121" t="s">
        <v>584</v>
      </c>
      <c r="C121" t="s">
        <v>316</v>
      </c>
      <c r="D121" t="str" cm="1">
        <f t="array" ref="D121">GetHyperlink(A121)</f>
        <v>http://www.dos.gov.jo/</v>
      </c>
    </row>
    <row r="122" spans="1:4">
      <c r="A122" t="s">
        <v>586</v>
      </c>
      <c r="B122" t="s">
        <v>586</v>
      </c>
      <c r="C122" t="s">
        <v>587</v>
      </c>
      <c r="D122" t="str" cm="1">
        <f t="array" ref="D122">GetHyperlink(A122)</f>
        <v>http://www.stat.gov.kz/</v>
      </c>
    </row>
    <row r="123" spans="1:4">
      <c r="A123" t="s">
        <v>590</v>
      </c>
      <c r="B123" t="s">
        <v>590</v>
      </c>
      <c r="C123" t="s">
        <v>591</v>
      </c>
      <c r="D123" t="str" cm="1">
        <f t="array" ref="D123">GetHyperlink(A123)</f>
        <v>http://www.stat.kg/</v>
      </c>
    </row>
    <row r="124" spans="1:4">
      <c r="A124" t="s">
        <v>595</v>
      </c>
      <c r="B124" t="s">
        <v>595</v>
      </c>
      <c r="C124" t="s">
        <v>596</v>
      </c>
      <c r="D124" t="str" cm="1">
        <f t="array" ref="D124">GetHyperlink(A124)</f>
        <v>http://kostat.go.kr/</v>
      </c>
    </row>
    <row r="125" spans="1:4">
      <c r="A125" t="s">
        <v>601</v>
      </c>
      <c r="B125" t="s">
        <v>601</v>
      </c>
      <c r="C125" t="s">
        <v>28</v>
      </c>
      <c r="D125" t="str" cm="1">
        <f t="array" ref="D125">GetHyperlink(A125)</f>
        <v>http://www.csb.gov.kw/Default_EN.aspx</v>
      </c>
    </row>
    <row r="126" spans="1:4">
      <c r="A126" t="s">
        <v>605</v>
      </c>
      <c r="B126" t="s">
        <v>605</v>
      </c>
      <c r="C126" t="s">
        <v>606</v>
      </c>
      <c r="D126" t="str" cm="1">
        <f t="array" ref="D126">GetHyperlink(A126)</f>
        <v>http://www.lsb.gov.la/</v>
      </c>
    </row>
    <row r="127" spans="1:4">
      <c r="A127" t="s">
        <v>610</v>
      </c>
      <c r="B127" t="s">
        <v>610</v>
      </c>
      <c r="C127" t="s">
        <v>611</v>
      </c>
      <c r="D127" t="str" cm="1">
        <f t="array" ref="D127">GetHyperlink(A127)</f>
        <v>http://www.cas.gov.lb/</v>
      </c>
    </row>
    <row r="128" spans="1:4">
      <c r="A128" t="s">
        <v>615</v>
      </c>
      <c r="B128" t="s">
        <v>615</v>
      </c>
      <c r="C128" t="s">
        <v>616</v>
      </c>
      <c r="D128" t="str" cm="1">
        <f t="array" ref="D128">GetHyperlink(A128)</f>
        <v>https://www.dosm.gov.my/v1/</v>
      </c>
    </row>
    <row r="129" spans="1:4">
      <c r="A129" t="s">
        <v>620</v>
      </c>
      <c r="B129" t="s">
        <v>620</v>
      </c>
      <c r="C129" t="s">
        <v>621</v>
      </c>
      <c r="D129" t="str" cm="1">
        <f t="array" ref="D129">GetHyperlink(A129)</f>
        <v>http://www.planning.gov.mv/</v>
      </c>
    </row>
    <row r="130" spans="1:4">
      <c r="A130" t="s">
        <v>624</v>
      </c>
      <c r="B130" t="s">
        <v>624</v>
      </c>
      <c r="C130" t="s">
        <v>625</v>
      </c>
      <c r="D130" t="str" cm="1">
        <f t="array" ref="D130">GetHyperlink(A130)</f>
        <v>http://www.nso.mn/</v>
      </c>
    </row>
    <row r="131" spans="1:4">
      <c r="A131" t="s">
        <v>629</v>
      </c>
      <c r="B131" t="s">
        <v>629</v>
      </c>
      <c r="C131" t="s">
        <v>630</v>
      </c>
      <c r="D131" t="str" cm="1">
        <f t="array" ref="D131">GetHyperlink(A131)</f>
        <v>http://www.csostat.gov.mm/</v>
      </c>
    </row>
    <row r="132" spans="1:4">
      <c r="A132" t="s">
        <v>634</v>
      </c>
      <c r="B132" t="s">
        <v>634</v>
      </c>
      <c r="C132" t="s">
        <v>199</v>
      </c>
      <c r="D132" t="str" cm="1">
        <f t="array" ref="D132">GetHyperlink(A132)</f>
        <v>http://www.cbs.gov.np/</v>
      </c>
    </row>
    <row r="133" spans="1:4">
      <c r="A133" t="s">
        <v>639</v>
      </c>
      <c r="B133" t="s">
        <v>639</v>
      </c>
      <c r="C133" t="s">
        <v>640</v>
      </c>
      <c r="D133" t="str" cm="1">
        <f t="array" ref="D133">GetHyperlink(A133)</f>
        <v>http://www.ncsi.gov.om/NCSI_website/NCSI_EN.aspx</v>
      </c>
    </row>
    <row r="134" spans="1:4">
      <c r="A134" t="s">
        <v>645</v>
      </c>
      <c r="B134" t="s">
        <v>645</v>
      </c>
      <c r="D134" t="str" cm="1">
        <f t="array" ref="D134">GetHyperlink(A134)</f>
        <v/>
      </c>
    </row>
    <row r="135" spans="1:4">
      <c r="C135" t="s">
        <v>646</v>
      </c>
      <c r="D135" t="str" cm="1">
        <f t="array" ref="D135">GetHyperlink(A135)</f>
        <v>http://www.pbs.gov.pk/</v>
      </c>
    </row>
    <row r="136" spans="1:4">
      <c r="C136" t="s">
        <v>650</v>
      </c>
      <c r="D136" t="str" cm="1">
        <f t="array" ref="D136">GetHyperlink(A136)</f>
        <v>http://www.ead.gov.pk/</v>
      </c>
    </row>
    <row r="137" spans="1:4">
      <c r="A137" t="s">
        <v>653</v>
      </c>
      <c r="B137" t="s">
        <v>653</v>
      </c>
      <c r="C137" t="s">
        <v>654</v>
      </c>
      <c r="D137" t="str" cm="1">
        <f t="array" ref="D137">GetHyperlink(A137)</f>
        <v>http://www.psa.gov.ph/</v>
      </c>
    </row>
    <row r="138" spans="1:4">
      <c r="A138" t="s">
        <v>659</v>
      </c>
      <c r="B138" t="s">
        <v>659</v>
      </c>
      <c r="C138" t="s">
        <v>660</v>
      </c>
      <c r="D138" t="str" cm="1">
        <f t="array" ref="D138">GetHyperlink(A138)</f>
        <v>http://www.qsa.gov.qa/eng/index.htm</v>
      </c>
    </row>
    <row r="139" spans="1:4">
      <c r="A139" t="s">
        <v>664</v>
      </c>
      <c r="B139" t="s">
        <v>664</v>
      </c>
      <c r="C139" t="s">
        <v>665</v>
      </c>
      <c r="D139" t="str" cm="1">
        <f t="array" ref="D139">GetHyperlink(A139)</f>
        <v>https://www.stats.gov.sa/en</v>
      </c>
    </row>
    <row r="140" spans="1:4">
      <c r="A140" t="s">
        <v>669</v>
      </c>
      <c r="B140" t="s">
        <v>669</v>
      </c>
      <c r="C140" t="s">
        <v>670</v>
      </c>
      <c r="D140" t="str" cm="1">
        <f t="array" ref="D140">GetHyperlink(A140)</f>
        <v>http://www.singstat.gov.sg/</v>
      </c>
    </row>
    <row r="141" spans="1:4">
      <c r="A141" t="s">
        <v>674</v>
      </c>
      <c r="B141" t="s">
        <v>674</v>
      </c>
      <c r="C141" t="s">
        <v>675</v>
      </c>
      <c r="D141" t="str" cm="1">
        <f t="array" ref="D141">GetHyperlink(A141)</f>
        <v>http://www.statistics.gov.lk/</v>
      </c>
    </row>
    <row r="142" spans="1:4">
      <c r="A142" t="s">
        <v>679</v>
      </c>
      <c r="B142" t="s">
        <v>679</v>
      </c>
      <c r="C142" t="s">
        <v>680</v>
      </c>
      <c r="D142" t="str" cm="1">
        <f t="array" ref="D142">GetHyperlink(A142)</f>
        <v>http://www.pcbs.gov.ps/</v>
      </c>
    </row>
    <row r="143" spans="1:4">
      <c r="A143" t="s">
        <v>685</v>
      </c>
      <c r="B143" t="s">
        <v>685</v>
      </c>
      <c r="C143" t="s">
        <v>199</v>
      </c>
      <c r="D143" t="str" cm="1">
        <f t="array" ref="D143">GetHyperlink(A143)</f>
        <v>http://www.cbssyr.org/</v>
      </c>
    </row>
    <row r="144" spans="1:4">
      <c r="A144" t="s">
        <v>691</v>
      </c>
      <c r="B144" t="s">
        <v>691</v>
      </c>
      <c r="C144" t="s">
        <v>692</v>
      </c>
      <c r="D144" t="str" cm="1">
        <f t="array" ref="D144">GetHyperlink(A144)</f>
        <v>http://www.stat.tj/</v>
      </c>
    </row>
    <row r="145" spans="1:4">
      <c r="A145" t="s">
        <v>697</v>
      </c>
      <c r="B145" t="s">
        <v>697</v>
      </c>
      <c r="C145" t="s">
        <v>625</v>
      </c>
      <c r="D145" t="str" cm="1">
        <f t="array" ref="D145">GetHyperlink(A145)</f>
        <v>http://www.nso.go.th/</v>
      </c>
    </row>
    <row r="146" spans="1:4">
      <c r="A146" t="s">
        <v>702</v>
      </c>
      <c r="B146" t="s">
        <v>702</v>
      </c>
      <c r="C146" t="s">
        <v>703</v>
      </c>
      <c r="D146" t="str" cm="1">
        <f t="array" ref="D146">GetHyperlink(A146)</f>
        <v>http://dne.mof.gov.tl/index.htm</v>
      </c>
    </row>
    <row r="147" spans="1:4">
      <c r="A147" t="s">
        <v>710</v>
      </c>
      <c r="B147" t="s">
        <v>710</v>
      </c>
      <c r="C147" t="s">
        <v>711</v>
      </c>
      <c r="D147" t="str" cm="1">
        <f t="array" ref="D147">GetHyperlink(A147)</f>
        <v>http://www.turkstat.gov.tr/</v>
      </c>
    </row>
    <row r="148" spans="1:4">
      <c r="A148" t="s">
        <v>717</v>
      </c>
      <c r="B148" t="s">
        <v>717</v>
      </c>
      <c r="C148" t="s">
        <v>718</v>
      </c>
      <c r="D148" t="str" cm="1">
        <f t="array" ref="D148">GetHyperlink(A148)</f>
        <v>http://www.fcsa.gov.ae/</v>
      </c>
    </row>
    <row r="149" spans="1:4">
      <c r="A149" t="s">
        <v>722</v>
      </c>
      <c r="B149" t="s">
        <v>722</v>
      </c>
      <c r="C149" t="s">
        <v>723</v>
      </c>
      <c r="D149" t="str" cm="1">
        <f t="array" ref="D149">GetHyperlink(A149)</f>
        <v>http://www.stat.uz/</v>
      </c>
    </row>
    <row r="150" spans="1:4">
      <c r="A150" t="s">
        <v>727</v>
      </c>
      <c r="B150" t="s">
        <v>727</v>
      </c>
      <c r="C150" t="s">
        <v>728</v>
      </c>
      <c r="D150" t="str" cm="1">
        <f t="array" ref="D150">GetHyperlink(A150)</f>
        <v>http://www.gso.gov.vn/</v>
      </c>
    </row>
    <row r="151" spans="1:4">
      <c r="A151" t="s">
        <v>735</v>
      </c>
      <c r="B151" t="s">
        <v>735</v>
      </c>
      <c r="C151" t="s">
        <v>736</v>
      </c>
      <c r="D151" t="str" cm="1">
        <f t="array" ref="D151">GetHyperlink(A151)</f>
        <v>http://www.asub.ax/</v>
      </c>
    </row>
    <row r="152" spans="1:4">
      <c r="A152" t="s">
        <v>20</v>
      </c>
      <c r="B152" t="s">
        <v>20</v>
      </c>
      <c r="C152" t="s">
        <v>741</v>
      </c>
      <c r="D152" t="str" cm="1">
        <f t="array" ref="D152">GetHyperlink(A152)</f>
        <v>http://www.instat.gov.al/</v>
      </c>
    </row>
    <row r="153" spans="1:4">
      <c r="A153" t="s">
        <v>745</v>
      </c>
      <c r="B153" t="s">
        <v>745</v>
      </c>
      <c r="C153" t="s">
        <v>746</v>
      </c>
      <c r="D153" t="str" cm="1">
        <f t="array" ref="D153">GetHyperlink(A153)</f>
        <v>http://www.estadistica.ad/</v>
      </c>
    </row>
    <row r="154" spans="1:4">
      <c r="A154" t="s">
        <v>749</v>
      </c>
      <c r="B154" t="s">
        <v>749</v>
      </c>
      <c r="C154" t="s">
        <v>750</v>
      </c>
      <c r="D154" t="str" cm="1">
        <f t="array" ref="D154">GetHyperlink(A154)</f>
        <v>http://www.statistik.at/</v>
      </c>
    </row>
    <row r="155" spans="1:4">
      <c r="A155" t="s">
        <v>753</v>
      </c>
      <c r="B155" t="s">
        <v>753</v>
      </c>
      <c r="C155" t="s">
        <v>754</v>
      </c>
      <c r="D155" t="str" cm="1">
        <f t="array" ref="D155">GetHyperlink(A155)</f>
        <v>http://belstat.gov.by/</v>
      </c>
    </row>
    <row r="156" spans="1:4">
      <c r="A156" t="s">
        <v>758</v>
      </c>
      <c r="B156" t="s">
        <v>758</v>
      </c>
      <c r="C156" t="s">
        <v>759</v>
      </c>
      <c r="D156" t="str" cm="1">
        <f t="array" ref="D156">GetHyperlink(A156)</f>
        <v>http://www.statbel.fgov.be/</v>
      </c>
    </row>
    <row r="157" spans="1:4">
      <c r="A157" t="s">
        <v>762</v>
      </c>
      <c r="B157" t="s">
        <v>762</v>
      </c>
      <c r="D157" t="str" cm="1">
        <f t="array" ref="D157">GetHyperlink(A157)</f>
        <v/>
      </c>
    </row>
    <row r="158" spans="1:4">
      <c r="C158" t="s">
        <v>763</v>
      </c>
      <c r="D158" t="str" cm="1">
        <f t="array" ref="D158">GetHyperlink(A158)</f>
        <v>http://www.bhas.ba/</v>
      </c>
    </row>
    <row r="159" spans="1:4">
      <c r="C159" t="s">
        <v>767</v>
      </c>
      <c r="D159" t="str" cm="1">
        <f t="array" ref="D159">GetHyperlink(A159)</f>
        <v>http://www.fzs.ba/</v>
      </c>
    </row>
    <row r="160" spans="1:4">
      <c r="C160" t="s">
        <v>770</v>
      </c>
      <c r="D160" t="str" cm="1">
        <f t="array" ref="D160">GetHyperlink(A160)</f>
        <v>http://www.rzs.rs.ba/</v>
      </c>
    </row>
    <row r="161" spans="1:4">
      <c r="A161" t="s">
        <v>773</v>
      </c>
      <c r="B161" t="s">
        <v>773</v>
      </c>
      <c r="C161" t="s">
        <v>774</v>
      </c>
      <c r="D161" t="str" cm="1">
        <f t="array" ref="D161">GetHyperlink(A161)</f>
        <v>http://www.nsi.bg/</v>
      </c>
    </row>
    <row r="162" spans="1:4">
      <c r="A162" t="s">
        <v>777</v>
      </c>
      <c r="B162" t="s">
        <v>777</v>
      </c>
      <c r="C162" t="s">
        <v>778</v>
      </c>
      <c r="D162" t="str" cm="1">
        <f t="array" ref="D162">GetHyperlink(A162)</f>
        <v>http://www.dzs.hr/</v>
      </c>
    </row>
    <row r="163" spans="1:4">
      <c r="A163" t="s">
        <v>782</v>
      </c>
      <c r="B163" t="s">
        <v>782</v>
      </c>
      <c r="C163" t="s">
        <v>783</v>
      </c>
      <c r="D163" t="str" cm="1">
        <f t="array" ref="D163">GetHyperlink(A163)</f>
        <v>http://www.czso.cz/</v>
      </c>
    </row>
    <row r="164" spans="1:4">
      <c r="A164" t="s">
        <v>788</v>
      </c>
      <c r="B164" t="s">
        <v>788</v>
      </c>
      <c r="C164" t="s">
        <v>789</v>
      </c>
      <c r="D164" t="str" cm="1">
        <f t="array" ref="D164">GetHyperlink(A164)</f>
        <v>http://www.dst.dk/</v>
      </c>
    </row>
    <row r="165" spans="1:4">
      <c r="A165" t="s">
        <v>793</v>
      </c>
      <c r="B165" t="s">
        <v>793</v>
      </c>
      <c r="C165" t="s">
        <v>794</v>
      </c>
      <c r="D165" t="str" cm="1">
        <f t="array" ref="D165">GetHyperlink(A165)</f>
        <v>http://www.stat.ee/</v>
      </c>
    </row>
    <row r="166" spans="1:4">
      <c r="A166" t="s">
        <v>797</v>
      </c>
      <c r="B166" t="s">
        <v>797</v>
      </c>
      <c r="C166" t="s">
        <v>798</v>
      </c>
      <c r="D166" t="str" cm="1">
        <f t="array" ref="D166">GetHyperlink(A166)</f>
        <v>http://www.hagstova.fo/</v>
      </c>
    </row>
    <row r="167" spans="1:4">
      <c r="A167" t="s">
        <v>802</v>
      </c>
      <c r="B167" t="s">
        <v>802</v>
      </c>
      <c r="C167" t="s">
        <v>803</v>
      </c>
      <c r="D167" t="str" cm="1">
        <f t="array" ref="D167">GetHyperlink(A167)</f>
        <v>http://www.stat.fi/</v>
      </c>
    </row>
    <row r="168" spans="1:4">
      <c r="A168" t="s">
        <v>807</v>
      </c>
      <c r="B168" t="s">
        <v>807</v>
      </c>
      <c r="D168" t="str" cm="1">
        <f t="array" ref="D168">GetHyperlink(A168)</f>
        <v/>
      </c>
    </row>
    <row r="169" spans="1:4">
      <c r="C169" t="s">
        <v>808</v>
      </c>
      <c r="D169" t="str" cm="1">
        <f t="array" ref="D169">GetHyperlink(A169)</f>
        <v>http://www.insee.fr/</v>
      </c>
    </row>
    <row r="170" spans="1:4">
      <c r="C170" t="s">
        <v>811</v>
      </c>
      <c r="D170" t="str" cm="1">
        <f t="array" ref="D170">GetHyperlink(A170)</f>
        <v>http://www.statistique-publique.fr/</v>
      </c>
    </row>
    <row r="171" spans="1:4">
      <c r="A171" t="s">
        <v>815</v>
      </c>
      <c r="B171" t="s">
        <v>815</v>
      </c>
      <c r="C171" t="s">
        <v>816</v>
      </c>
      <c r="D171" t="str" cm="1">
        <f t="array" ref="D171">GetHyperlink(A171)</f>
        <v>http://www.destatis.de/</v>
      </c>
    </row>
    <row r="172" spans="1:4">
      <c r="A172" t="s">
        <v>820</v>
      </c>
      <c r="B172" t="s">
        <v>820</v>
      </c>
      <c r="C172" t="s">
        <v>821</v>
      </c>
      <c r="D172" t="str" cm="1">
        <f t="array" ref="D172">GetHyperlink(A172)</f>
        <v>http://www.statistics.gr/</v>
      </c>
    </row>
    <row r="173" spans="1:4">
      <c r="A173" t="s">
        <v>823</v>
      </c>
      <c r="B173" t="s">
        <v>823</v>
      </c>
      <c r="C173" t="s">
        <v>824</v>
      </c>
      <c r="D173" t="str" cm="1">
        <f t="array" ref="D173">GetHyperlink(A173)</f>
        <v>http://www.stat.gl/</v>
      </c>
    </row>
    <row r="174" spans="1:4">
      <c r="A174" t="s">
        <v>827</v>
      </c>
      <c r="B174" t="s">
        <v>827</v>
      </c>
      <c r="C174" t="s">
        <v>828</v>
      </c>
      <c r="D174" t="str" cm="1">
        <f t="array" ref="D174">GetHyperlink(A174)</f>
        <v>http://www.ksh.hu/?lang=en</v>
      </c>
    </row>
    <row r="175" spans="1:4">
      <c r="A175" t="s">
        <v>831</v>
      </c>
      <c r="B175" t="s">
        <v>831</v>
      </c>
      <c r="C175" t="s">
        <v>832</v>
      </c>
      <c r="D175" t="str" cm="1">
        <f t="array" ref="D175">GetHyperlink(A175)</f>
        <v>http://www.hagstofa.is/</v>
      </c>
    </row>
    <row r="176" spans="1:4">
      <c r="A176" t="s">
        <v>836</v>
      </c>
      <c r="B176" t="s">
        <v>836</v>
      </c>
      <c r="C176" t="s">
        <v>837</v>
      </c>
      <c r="D176" t="str" cm="1">
        <f t="array" ref="D176">GetHyperlink(A176)</f>
        <v>http://www.cso.ie/</v>
      </c>
    </row>
    <row r="177" spans="1:4">
      <c r="A177" t="s">
        <v>840</v>
      </c>
      <c r="B177" t="s">
        <v>840</v>
      </c>
      <c r="C177" t="s">
        <v>841</v>
      </c>
      <c r="D177" t="str" cm="1">
        <f t="array" ref="D177">GetHyperlink(A177)</f>
        <v>http://www.istat.it/</v>
      </c>
    </row>
    <row r="178" spans="1:4">
      <c r="A178" t="s">
        <v>844</v>
      </c>
      <c r="B178" t="s">
        <v>844</v>
      </c>
      <c r="C178" t="s">
        <v>845</v>
      </c>
      <c r="D178" t="str" cm="1">
        <f t="array" ref="D178">GetHyperlink(A178)</f>
        <v>http://www.csb.lv/</v>
      </c>
    </row>
    <row r="179" spans="1:4">
      <c r="A179" t="s">
        <v>848</v>
      </c>
      <c r="B179" t="s">
        <v>848</v>
      </c>
      <c r="C179" t="s">
        <v>375</v>
      </c>
      <c r="D179" t="str" cm="1">
        <f t="array" ref="D179">GetHyperlink(A179)</f>
        <v>http://www.as.llv.li/</v>
      </c>
    </row>
    <row r="180" spans="1:4">
      <c r="A180" t="s">
        <v>852</v>
      </c>
      <c r="B180" t="s">
        <v>852</v>
      </c>
      <c r="C180" t="s">
        <v>853</v>
      </c>
      <c r="D180" t="str" cm="1">
        <f t="array" ref="D180">GetHyperlink(A180)</f>
        <v>http://www.stat.gov.lt/</v>
      </c>
    </row>
    <row r="181" spans="1:4">
      <c r="A181" t="s">
        <v>857</v>
      </c>
      <c r="B181" t="s">
        <v>857</v>
      </c>
      <c r="C181" t="s">
        <v>858</v>
      </c>
      <c r="D181" t="str" cm="1">
        <f t="array" ref="D181">GetHyperlink(A181)</f>
        <v>http://www.statec.lu/</v>
      </c>
    </row>
    <row r="182" spans="1:4">
      <c r="A182" t="s">
        <v>862</v>
      </c>
      <c r="B182" t="s">
        <v>862</v>
      </c>
      <c r="C182" t="s">
        <v>863</v>
      </c>
      <c r="D182" t="str" cm="1">
        <f t="array" ref="D182">GetHyperlink(A182)</f>
        <v>http://www.nso.gov.mt/</v>
      </c>
    </row>
    <row r="183" spans="1:4">
      <c r="A183" t="s">
        <v>867</v>
      </c>
      <c r="B183" t="s">
        <v>867</v>
      </c>
      <c r="C183" t="s">
        <v>140</v>
      </c>
      <c r="D183" t="str" cm="1">
        <f t="array" ref="D183">GetHyperlink(A183)</f>
        <v>http://www.statistica.md/?lang=en</v>
      </c>
    </row>
    <row r="184" spans="1:4">
      <c r="A184" t="s">
        <v>871</v>
      </c>
      <c r="B184" t="s">
        <v>871</v>
      </c>
      <c r="C184" t="s">
        <v>872</v>
      </c>
      <c r="D184" t="str" cm="1">
        <f t="array" ref="D184">GetHyperlink(A184)</f>
        <v>http://www.gouv.mc/</v>
      </c>
    </row>
    <row r="185" spans="1:4">
      <c r="A185" t="s">
        <v>875</v>
      </c>
      <c r="B185" t="s">
        <v>875</v>
      </c>
      <c r="C185" t="s">
        <v>876</v>
      </c>
      <c r="D185" t="str" cm="1">
        <f t="array" ref="D185">GetHyperlink(A185)</f>
        <v>http://www.monstat.org/</v>
      </c>
    </row>
    <row r="186" spans="1:4">
      <c r="A186" t="s">
        <v>695</v>
      </c>
      <c r="B186" t="s">
        <v>695</v>
      </c>
      <c r="D186" t="str" cm="1">
        <f t="array" ref="D186">GetHyperlink(A186)</f>
        <v/>
      </c>
    </row>
    <row r="187" spans="1:4">
      <c r="C187" t="s">
        <v>879</v>
      </c>
      <c r="D187" t="str" cm="1">
        <f t="array" ref="D187">GetHyperlink(A187)</f>
        <v>http://www.cbs.nl/</v>
      </c>
    </row>
    <row r="188" spans="1:4">
      <c r="C188" t="s">
        <v>883</v>
      </c>
      <c r="D188" t="str" cm="1">
        <f t="array" ref="D188">GetHyperlink(A188)</f>
        <v/>
      </c>
    </row>
    <row r="189" spans="1:4">
      <c r="A189" t="s">
        <v>886</v>
      </c>
      <c r="B189" t="s">
        <v>886</v>
      </c>
      <c r="C189" t="s">
        <v>887</v>
      </c>
      <c r="D189" t="str" cm="1">
        <f t="array" ref="D189">GetHyperlink(A189)</f>
        <v>http://www.stat.gov.mk/</v>
      </c>
    </row>
    <row r="190" spans="1:4">
      <c r="A190" t="s">
        <v>891</v>
      </c>
      <c r="B190" t="s">
        <v>891</v>
      </c>
      <c r="C190" t="s">
        <v>892</v>
      </c>
      <c r="D190" t="str" cm="1">
        <f t="array" ref="D190">GetHyperlink(A190)</f>
        <v>http://www.ssb.no/</v>
      </c>
    </row>
    <row r="191" spans="1:4">
      <c r="A191" t="s">
        <v>894</v>
      </c>
      <c r="B191" t="s">
        <v>894</v>
      </c>
      <c r="C191" t="s">
        <v>895</v>
      </c>
      <c r="D191" t="str" cm="1">
        <f t="array" ref="D191">GetHyperlink(A191)</f>
        <v>http://www.stat.gov.pl/</v>
      </c>
    </row>
    <row r="192" spans="1:4">
      <c r="A192" t="s">
        <v>897</v>
      </c>
      <c r="B192" t="s">
        <v>897</v>
      </c>
      <c r="C192" t="s">
        <v>898</v>
      </c>
      <c r="D192" t="str" cm="1">
        <f t="array" ref="D192">GetHyperlink(A192)</f>
        <v>http://www.ine.pt/</v>
      </c>
    </row>
    <row r="193" spans="1:4">
      <c r="A193" t="s">
        <v>902</v>
      </c>
      <c r="B193" t="s">
        <v>902</v>
      </c>
      <c r="C193" t="s">
        <v>521</v>
      </c>
      <c r="D193" t="str" cm="1">
        <f t="array" ref="D193">GetHyperlink(A193)</f>
        <v>http://www.insse.ro/</v>
      </c>
    </row>
    <row r="194" spans="1:4">
      <c r="A194" t="s">
        <v>905</v>
      </c>
      <c r="B194" t="s">
        <v>905</v>
      </c>
      <c r="C194" t="s">
        <v>906</v>
      </c>
      <c r="D194" t="str" cm="1">
        <f t="array" ref="D194">GetHyperlink(A194)</f>
        <v>http://www.gks.ru/</v>
      </c>
    </row>
    <row r="195" spans="1:4">
      <c r="A195" t="s">
        <v>909</v>
      </c>
      <c r="B195" t="s">
        <v>909</v>
      </c>
      <c r="C195" t="s">
        <v>910</v>
      </c>
      <c r="D195" t="str" cm="1">
        <f t="array" ref="D195">GetHyperlink(A195)</f>
        <v>http://www.upeceds.sm/</v>
      </c>
    </row>
    <row r="196" spans="1:4">
      <c r="A196" t="s">
        <v>914</v>
      </c>
      <c r="B196" t="s">
        <v>914</v>
      </c>
      <c r="C196" t="s">
        <v>915</v>
      </c>
      <c r="D196" t="str" cm="1">
        <f t="array" ref="D196">GetHyperlink(A196)</f>
        <v>http://webrzs.stat.gov.rs/WebSite/</v>
      </c>
    </row>
    <row r="197" spans="1:4">
      <c r="A197" t="s">
        <v>919</v>
      </c>
      <c r="B197" t="s">
        <v>919</v>
      </c>
      <c r="C197" t="s">
        <v>920</v>
      </c>
      <c r="D197" t="str" cm="1">
        <f t="array" ref="D197">GetHyperlink(A197)</f>
        <v>http://www.statistics.sk/</v>
      </c>
    </row>
    <row r="198" spans="1:4">
      <c r="A198" t="s">
        <v>923</v>
      </c>
      <c r="B198" t="s">
        <v>923</v>
      </c>
      <c r="C198" t="s">
        <v>924</v>
      </c>
      <c r="D198" t="str" cm="1">
        <f t="array" ref="D198">GetHyperlink(A198)</f>
        <v>http://www.stat.si/</v>
      </c>
    </row>
    <row r="199" spans="1:4">
      <c r="A199" t="s">
        <v>928</v>
      </c>
      <c r="B199" t="s">
        <v>928</v>
      </c>
      <c r="C199" t="s">
        <v>330</v>
      </c>
      <c r="D199" t="str" cm="1">
        <f t="array" ref="D199">GetHyperlink(A199)</f>
        <v>http://www.ine.es/</v>
      </c>
    </row>
    <row r="200" spans="1:4">
      <c r="A200" t="s">
        <v>931</v>
      </c>
      <c r="B200" t="s">
        <v>931</v>
      </c>
      <c r="C200" t="s">
        <v>932</v>
      </c>
      <c r="D200" t="str" cm="1">
        <f t="array" ref="D200">GetHyperlink(A200)</f>
        <v>http://www.scb.se/</v>
      </c>
    </row>
    <row r="201" spans="1:4">
      <c r="A201" t="s">
        <v>934</v>
      </c>
      <c r="B201" t="s">
        <v>934</v>
      </c>
      <c r="C201" t="s">
        <v>935</v>
      </c>
      <c r="D201" t="str" cm="1">
        <f t="array" ref="D201">GetHyperlink(A201)</f>
        <v>http://www.bfs.admin.ch/</v>
      </c>
    </row>
    <row r="202" spans="1:4">
      <c r="A202" t="s">
        <v>938</v>
      </c>
      <c r="B202" t="s">
        <v>938</v>
      </c>
      <c r="C202" t="s">
        <v>939</v>
      </c>
      <c r="D202" t="str" cm="1">
        <f t="array" ref="D202">GetHyperlink(A202)</f>
        <v>http://www.ukrstat.gov.ua/</v>
      </c>
    </row>
    <row r="203" spans="1:4">
      <c r="A203" t="s">
        <v>942</v>
      </c>
      <c r="B203" t="s">
        <v>942</v>
      </c>
      <c r="D203" t="str" cm="1">
        <f t="array" ref="D203">GetHyperlink(A203)</f>
        <v/>
      </c>
    </row>
    <row r="204" spans="1:4">
      <c r="C204" t="s">
        <v>943</v>
      </c>
      <c r="D204" t="str" cm="1">
        <f t="array" ref="D204">GetHyperlink(A204)</f>
        <v>http://www.statistics.gov.uk/</v>
      </c>
    </row>
    <row r="205" spans="1:4">
      <c r="C205" t="s">
        <v>947</v>
      </c>
      <c r="D205" t="str" cm="1">
        <f t="array" ref="D205">GetHyperlink(A205)</f>
        <v>http://www.statistics.gov.uk/default.asp</v>
      </c>
    </row>
    <row r="206" spans="1:4">
      <c r="A206" t="s">
        <v>951</v>
      </c>
      <c r="B206" t="s">
        <v>951</v>
      </c>
      <c r="C206" t="s">
        <v>952</v>
      </c>
      <c r="D206" t="str" cm="1">
        <f t="array" ref="D206">GetHyperlink(A206)</f>
        <v>http://www.abs.gov.au/</v>
      </c>
    </row>
    <row r="207" spans="1:4">
      <c r="A207" t="s">
        <v>955</v>
      </c>
      <c r="B207" t="s">
        <v>955</v>
      </c>
      <c r="C207" t="s">
        <v>956</v>
      </c>
      <c r="D207" t="str" cm="1">
        <f t="array" ref="D207">GetHyperlink(A207)</f>
        <v>http://www.stats.gov.ck/</v>
      </c>
    </row>
    <row r="208" spans="1:4">
      <c r="A208" t="s">
        <v>960</v>
      </c>
      <c r="B208" t="s">
        <v>960</v>
      </c>
      <c r="C208" t="s">
        <v>961</v>
      </c>
      <c r="D208" t="str" cm="1">
        <f t="array" ref="D208">GetHyperlink(A208)</f>
        <v>http://www.statsfiji.gov.fj/</v>
      </c>
    </row>
    <row r="209" spans="1:4">
      <c r="A209" t="s">
        <v>963</v>
      </c>
      <c r="B209" t="s">
        <v>963</v>
      </c>
      <c r="C209" t="s">
        <v>964</v>
      </c>
      <c r="D209" t="str" cm="1">
        <f t="array" ref="D209">GetHyperlink(A209)</f>
        <v>http://www.bsp.guam.gov/</v>
      </c>
    </row>
    <row r="210" spans="1:4">
      <c r="A210" t="s">
        <v>968</v>
      </c>
      <c r="B210" t="s">
        <v>968</v>
      </c>
      <c r="C210" t="s">
        <v>863</v>
      </c>
      <c r="D210" t="str" cm="1">
        <f t="array" ref="D210">GetHyperlink(A210)</f>
        <v>http://www.spc.int/prism/Country/KI/Stats/</v>
      </c>
    </row>
    <row r="211" spans="1:4">
      <c r="A211" t="s">
        <v>971</v>
      </c>
      <c r="B211" t="s">
        <v>971</v>
      </c>
      <c r="C211" t="s">
        <v>972</v>
      </c>
      <c r="D211" t="str" cm="1">
        <f t="array" ref="D211">GetHyperlink(A211)</f>
        <v>http://www.fsmgov.org/info/people.html</v>
      </c>
    </row>
    <row r="212" spans="1:4">
      <c r="A212" t="s">
        <v>618</v>
      </c>
      <c r="B212" t="s">
        <v>618</v>
      </c>
      <c r="D212" t="str" cm="1">
        <f t="array" ref="D212">GetHyperlink(A212)</f>
        <v/>
      </c>
    </row>
    <row r="213" spans="1:4">
      <c r="C213" t="s">
        <v>977</v>
      </c>
      <c r="D213" t="str" cm="1">
        <f t="array" ref="D213">GetHyperlink(A213)</f>
        <v>http://www.rmiembassyus.org/</v>
      </c>
    </row>
    <row r="214" spans="1:4">
      <c r="C214" t="s">
        <v>980</v>
      </c>
      <c r="D214" t="str" cm="1">
        <f t="array" ref="D214">GetHyperlink(A214)</f>
        <v>http://www.spc.int/prism/country/mh/stats/</v>
      </c>
    </row>
    <row r="215" spans="1:4">
      <c r="A215" t="s">
        <v>983</v>
      </c>
      <c r="B215" t="s">
        <v>983</v>
      </c>
      <c r="C215" t="s">
        <v>984</v>
      </c>
      <c r="D215" t="str" cm="1">
        <f t="array" ref="D215">GetHyperlink(A215)</f>
        <v>http://www.spc.int/prism/country/nr/stats/</v>
      </c>
    </row>
    <row r="216" spans="1:4">
      <c r="A216" t="s">
        <v>987</v>
      </c>
      <c r="B216" t="s">
        <v>987</v>
      </c>
      <c r="C216" t="s">
        <v>988</v>
      </c>
      <c r="D216" t="str" cm="1">
        <f t="array" ref="D216">GetHyperlink(A216)</f>
        <v>http://www.stats.govt.nz/</v>
      </c>
    </row>
    <row r="217" spans="1:4">
      <c r="A217" t="s">
        <v>991</v>
      </c>
      <c r="B217" t="s">
        <v>991</v>
      </c>
      <c r="C217" t="s">
        <v>992</v>
      </c>
      <c r="D217" t="str" cm="1">
        <f t="array" ref="D217">GetHyperlink(A217)</f>
        <v>http://www.spc.int/prism/Country/NU/stats/</v>
      </c>
    </row>
    <row r="218" spans="1:4">
      <c r="A218" t="s">
        <v>996</v>
      </c>
      <c r="B218" t="s">
        <v>996</v>
      </c>
      <c r="C218" t="s">
        <v>997</v>
      </c>
      <c r="D218" t="str" cm="1">
        <f t="array" ref="D218">GetHyperlink(A218)</f>
        <v>http://commerce.gov.mp/divisions/central-statistics/</v>
      </c>
    </row>
    <row r="219" spans="1:4">
      <c r="A219" t="s">
        <v>1000</v>
      </c>
      <c r="B219" t="s">
        <v>1000</v>
      </c>
      <c r="C219" t="s">
        <v>1001</v>
      </c>
      <c r="D219" t="str" cm="1">
        <f t="array" ref="D219">GetHyperlink(A219)</f>
        <v>http://www.palaugov.net/stats/</v>
      </c>
    </row>
    <row r="220" spans="1:4">
      <c r="A220" t="s">
        <v>1004</v>
      </c>
      <c r="B220" t="s">
        <v>1004</v>
      </c>
      <c r="C220" t="s">
        <v>1005</v>
      </c>
      <c r="D220" t="str" cm="1">
        <f t="array" ref="D220">GetHyperlink(A220)</f>
        <v>http://www.nso.gov.pg/</v>
      </c>
    </row>
    <row r="221" spans="1:4">
      <c r="A221" t="s">
        <v>1009</v>
      </c>
      <c r="B221" t="s">
        <v>1009</v>
      </c>
      <c r="C221" t="s">
        <v>1010</v>
      </c>
      <c r="D221" t="str" cm="1">
        <f t="array" ref="D221">GetHyperlink(A221)</f>
        <v>http://www.sbs.gov.ws/</v>
      </c>
    </row>
    <row r="222" spans="1:4">
      <c r="A222" t="s">
        <v>1012</v>
      </c>
      <c r="B222" t="s">
        <v>1012</v>
      </c>
      <c r="C222" t="s">
        <v>1013</v>
      </c>
      <c r="D222" t="str" cm="1">
        <f t="array" ref="D222">GetHyperlink(A222)</f>
        <v>http://www.spc.int/prism/country/sb/stats/</v>
      </c>
    </row>
    <row r="223" spans="1:4">
      <c r="A223" t="s">
        <v>1015</v>
      </c>
      <c r="B223" t="s">
        <v>1015</v>
      </c>
      <c r="C223" t="s">
        <v>1016</v>
      </c>
      <c r="D223" t="str" cm="1">
        <f t="array" ref="D223">GetHyperlink(A223)</f>
        <v>http://www.spc.int/prism/country/tk/stats/</v>
      </c>
    </row>
    <row r="224" spans="1:4">
      <c r="A224" t="s">
        <v>1021</v>
      </c>
      <c r="B224" t="s">
        <v>1021</v>
      </c>
      <c r="C224" t="s">
        <v>1022</v>
      </c>
      <c r="D224" t="str" cm="1">
        <f t="array" ref="D224">GetHyperlink(A224)</f>
        <v>http://www.spc.int/prism/Country/TO/stats/</v>
      </c>
    </row>
    <row r="225" spans="1:4">
      <c r="A225" t="s">
        <v>1026</v>
      </c>
      <c r="B225" t="s">
        <v>1026</v>
      </c>
      <c r="C225" t="s">
        <v>1027</v>
      </c>
      <c r="D225" t="str" cm="1">
        <f t="array" ref="D225">GetHyperlink(A225)</f>
        <v>http://www.spc.int/prism/country/tv/stats/</v>
      </c>
    </row>
    <row r="226" spans="1:4">
      <c r="A226" t="s">
        <v>1031</v>
      </c>
      <c r="B226" t="s">
        <v>1031</v>
      </c>
      <c r="C226" t="s">
        <v>1032</v>
      </c>
      <c r="D226" t="str" cm="1">
        <f t="array" ref="D226">GetHyperlink(A226)</f>
        <v>http://www.spc.int/prism/Country/VU/stats/</v>
      </c>
    </row>
  </sheetData>
  <mergeCells count="1">
    <mergeCell ref="A1:D1"/>
  </mergeCells>
  <hyperlinks>
    <hyperlink ref="A3" r:id="rId1" display="http://www.ons.dz/" xr:uid="{41B6224A-D778-4E65-B3A9-3D33E0E00806}"/>
    <hyperlink ref="A4" r:id="rId2" display="https://www.ine.gov.ao/" xr:uid="{311C22EF-E39F-4ADB-8CF5-20883D222452}"/>
    <hyperlink ref="A5" r:id="rId3" display="http://www.insae-bj.org/" xr:uid="{940218C2-2128-4846-9A1B-B86E8C857B1C}"/>
    <hyperlink ref="A6" r:id="rId4" display="http://www.cso.gov.bw/" xr:uid="{2BFCBE70-B96B-4A91-ABC0-3D8A25DC7097}"/>
    <hyperlink ref="A7" r:id="rId5" display="http://www.insd.bf/n/" xr:uid="{DCAE8483-F277-4FBB-A206-950D2ED8AD7D}"/>
    <hyperlink ref="A8" r:id="rId6" display="http://www.isteebu.bi/" xr:uid="{E281C5CF-F1D7-47D9-96B5-3C20D9A00E96}"/>
    <hyperlink ref="A9" r:id="rId7" display="http://www.ine.cv/" xr:uid="{475A7369-1196-47FD-A8BB-CEEA9C281227}"/>
    <hyperlink ref="A10" r:id="rId8" display="http://www.statistics-cameroon.org/" xr:uid="{66FC7F53-A0CA-474D-BC7D-B19D11A0A557}"/>
    <hyperlink ref="A11" r:id="rId9" display="http://www.stat-centrafrique.com/" xr:uid="{15074DD3-0FB9-43AA-A2D5-59C4E32CAB13}"/>
    <hyperlink ref="A12" r:id="rId10" display="http://www.inseed-tchad.org/" xr:uid="{DC3D4D47-CE51-441A-BD54-5A93283DE1BB}"/>
    <hyperlink ref="A13" r:id="rId11" display="http://www.cnsee.org/" xr:uid="{2BA8A9AA-83F3-4B92-B2BE-077205F08106}"/>
    <hyperlink ref="A14" r:id="rId12" display="http://www.ins.ci/" xr:uid="{F9645388-18B5-4E47-B173-18CBB4560D03}"/>
    <hyperlink ref="A15" r:id="rId13" display="http://www.ministere-finances.dj/" xr:uid="{E935A869-98B7-48BF-B98C-870BFCC2DD6F}"/>
    <hyperlink ref="A16" r:id="rId14" display="http://www.capmas.gov.eg/" xr:uid="{F6FE84DC-E55A-4A36-97CC-C9A27A9A21D3}"/>
    <hyperlink ref="A17" r:id="rId15" display="http://www.inege.gq/" xr:uid="{641B7961-5E7F-4349-9FD1-086CFEC1954C}"/>
    <hyperlink ref="A18" r:id="rId16" display="http://www.csa.gov.et/" xr:uid="{E0FB7902-5064-4097-8629-3BB45236749D}"/>
    <hyperlink ref="A19" r:id="rId17" display="http://www.stat-gabon.org/" xr:uid="{6F881A4A-73AC-4903-B67E-3C579AD24FB8}"/>
    <hyperlink ref="A20" r:id="rId18" display="http://www.gbos.gm/" xr:uid="{31B692A5-7779-40B3-9B63-8B8B41625A68}"/>
    <hyperlink ref="A21" r:id="rId19" display="http://www.statsghana.gov.gh/" xr:uid="{F80F33EC-7AF0-4348-8EC4-D9E17B582698}"/>
    <hyperlink ref="A22" r:id="rId20" display="http://www.stat-guinee.org/" xr:uid="{CD51261A-ABAE-48B1-8A08-E65702F556F5}"/>
    <hyperlink ref="A23" r:id="rId21" display="http://www.stat-guinebissau.com/" xr:uid="{02912DFF-5E2B-4C46-ADE5-867BE65D25FB}"/>
    <hyperlink ref="A24" r:id="rId22" display="http://www.knbs.or.ke/" xr:uid="{62C63057-3DE5-41C4-8034-2AFD09992875}"/>
    <hyperlink ref="A25" r:id="rId23" display="http://www.bos.gov.ls/" xr:uid="{C640F5A5-AB67-42D8-9E4C-E7555BEB617E}"/>
    <hyperlink ref="A26" r:id="rId24" display="http://www.tlcafrica.com/lisgis/lisgis.htm" xr:uid="{411BC0B3-3A97-4ECD-91C1-67AC457142C8}"/>
    <hyperlink ref="A27" r:id="rId25" display="http://www.bsc.ly/" xr:uid="{9F9D8F08-BFB0-4C93-BCF6-B05788BF1FC7}"/>
    <hyperlink ref="A28" r:id="rId26" display="http://www.instat.mg/" xr:uid="{A97410D3-6BE0-428D-8780-C0DC4BB159BE}"/>
    <hyperlink ref="A29" r:id="rId27" display="http://www.nsomalawi.mw/" xr:uid="{A822249C-7D47-40E0-93FC-1A59310F37E3}"/>
    <hyperlink ref="A30" r:id="rId28" display="http://www.instat-mali.org/" xr:uid="{C01F29DB-A603-4FDE-89CE-F3193E2F2EE6}"/>
    <hyperlink ref="A31" r:id="rId29" display="http://www.ons.mr/" xr:uid="{95265468-6A5E-4543-A85C-29333724AE29}"/>
    <hyperlink ref="A32" r:id="rId30" display="http://statsmauritius.govmu.org/English/Pages/default.aspx" xr:uid="{75C1CF0C-4D76-40C0-8BFB-E83D8AA34AFC}"/>
    <hyperlink ref="A33" r:id="rId31" display="http://www.hcp.ma/" xr:uid="{D3309684-F5CA-4AA9-98FA-B628DC8BFE38}"/>
    <hyperlink ref="A34" r:id="rId32" display="http://www.ine.gov.mz/" xr:uid="{F3959998-F64B-4025-AF07-F8E30D3B1DBD}"/>
    <hyperlink ref="A35" r:id="rId33" display="http://www.npc.gov.na/cbs/index.htm" xr:uid="{4EBF5429-758E-4BDA-9696-333442F4F7D2}"/>
    <hyperlink ref="A36" r:id="rId34" display="http://www.stat-niger.org/" xr:uid="{962A70F3-A609-4030-91E9-D9408582E1E0}"/>
    <hyperlink ref="A37" r:id="rId35" display="http://www.nigerianstat.gov.ng/" xr:uid="{0BC90547-406D-430E-9729-FB870AF12970}"/>
    <hyperlink ref="A38" r:id="rId36" display="http://www.statistics.gov.rw/" xr:uid="{24452BAF-19CB-456C-AF1A-B9142644B868}"/>
    <hyperlink ref="A39" r:id="rId37" display="http://www.ine.st/" xr:uid="{B5086ADD-9CED-46C3-BE83-A9194A3013AF}"/>
    <hyperlink ref="A40" r:id="rId38" display="http://www.ansd.sn/" xr:uid="{D16D2D3D-478C-46D7-B5DD-AE65078B82EA}"/>
    <hyperlink ref="A41" r:id="rId39" display="http://www.nsb.gov.sc/" xr:uid="{570B5F30-5F3B-490F-8556-D191EC3A8F5D}"/>
    <hyperlink ref="A42" r:id="rId40" display="http://www.statistics.sl/" xr:uid="{F2855982-ED56-4745-8CE9-52DE913ED0BD}"/>
    <hyperlink ref="A43" r:id="rId41" display="http://www.statssa.gov.za/" xr:uid="{173C38B6-D2D2-473D-AF2D-1D786D64B576}"/>
    <hyperlink ref="A44" r:id="rId42" display="http://ssnbs.org/" xr:uid="{942FBFE7-B4A6-48B9-8833-3AD6F0A463BF}"/>
    <hyperlink ref="A45" r:id="rId43" display="http://www.sainthelena.gov.sh/statistics/" xr:uid="{08B3566E-8F8D-4A32-A576-AB11BDD7B700}"/>
    <hyperlink ref="A46" r:id="rId44" display="http://www.cbs.gov.sd/" xr:uid="{0516D8DC-528B-48C0-917F-99D13F8C7735}"/>
    <hyperlink ref="A47" r:id="rId45" display="http://www.swazistats.org.sz/" xr:uid="{E44AD8FA-3B43-414D-902B-3AF0BA9A6CA9}"/>
    <hyperlink ref="A48" r:id="rId46" display="http://www.stat-togo.org/" xr:uid="{F94918DE-0D98-4A0C-AB1F-342E907AA2F6}"/>
    <hyperlink ref="A49" r:id="rId47" display="http://www.ins.nat.tn/" xr:uid="{7AC08EDE-4648-4984-985F-C2DB36206717}"/>
    <hyperlink ref="A50" r:id="rId48" display="http://www.ubos.org/" xr:uid="{7A93A073-9D93-4441-9535-EB2177ED311B}"/>
    <hyperlink ref="A51" r:id="rId49" display="http://www.nbs.go.tz/" xr:uid="{3D01425A-9042-4474-A375-A1B55A71A0D8}"/>
    <hyperlink ref="A52" r:id="rId50" display="http://www.zamstats.gov.zm/" xr:uid="{935ADA70-ACF2-4039-B95C-80F0328BEF98}"/>
    <hyperlink ref="A53" r:id="rId51" display="http://www.zimstat.co.zw/" xr:uid="{7C75603B-52DB-4D4B-BC6F-AAA1718DAC46}"/>
    <hyperlink ref="A54" r:id="rId52" display="http://www.gov.ai/statistics/" xr:uid="{C4B6182F-292E-4FB4-9E5F-1ABB70CBE56F}"/>
    <hyperlink ref="A55" r:id="rId53" display="https://www.indec.gob.ar/" xr:uid="{ED676C94-99EF-4B25-84B7-8B072A8F8AF0}"/>
    <hyperlink ref="A56" r:id="rId54" display="http://www.cbs.aw/" xr:uid="{A08FF70C-5745-4839-AAD6-118EB64493AB}"/>
    <hyperlink ref="A57" r:id="rId55" display="http://statistics.bahamas.gov.bs/" xr:uid="{9EE07831-0CE3-42B7-AA30-48D7CFE0DF9C}"/>
    <hyperlink ref="A58" r:id="rId56" display="http://www.barstats.gov.bb/" xr:uid="{2F8C0877-EE46-4A3C-A2A6-1A540B3EC953}"/>
    <hyperlink ref="A59" r:id="rId57" display="http://sib.org.bz/" xr:uid="{2F70B5AB-B27F-436C-BAE5-73FA52E1F124}"/>
    <hyperlink ref="A60" r:id="rId58" display="http://www.seaexpress.bm/portal/server.pt?open=512&amp;objID=227&amp;mode=2&amp;in_hi_userid=2&amp;cached=true" xr:uid="{8C33C365-55F0-4778-8236-E66C8F0D75A1}"/>
    <hyperlink ref="A61" r:id="rId59" display="http://www.ine.gob.bo/" xr:uid="{B60DC79C-1B2F-4B7F-8482-6734B1420544}"/>
    <hyperlink ref="A62" r:id="rId60" display="http://www.ibge.gov.br/" xr:uid="{D15A8696-D521-4B9B-A478-94FA04B50478}"/>
    <hyperlink ref="A63" r:id="rId61" display="http://www.statcan.gc.ca/" xr:uid="{D9F37179-5B73-4ED9-B149-6AE2DC4E98F5}"/>
    <hyperlink ref="A64" r:id="rId62" display="http://www.eso.ky/" xr:uid="{096686A9-755C-41A2-8F3B-C98EA06C7865}"/>
    <hyperlink ref="A65" r:id="rId63" display="http://www.ine.cl/" xr:uid="{DA71DDA0-4633-4ECD-B46F-184355277068}"/>
    <hyperlink ref="A66" r:id="rId64" display="http://www.dane.gov.co/" xr:uid="{2384DE77-7F2C-4282-A4DB-6FE058DF2D7C}"/>
    <hyperlink ref="A67" r:id="rId65" display="http://www.inec.go.cr/" xr:uid="{3DD82020-29DD-4AAC-A8DE-063F9950112A}"/>
    <hyperlink ref="A68" r:id="rId66" display="http://www.one.cu/" xr:uid="{0633B102-504C-45F2-9F95-B8964271EB01}"/>
    <hyperlink ref="A69" r:id="rId67" display="http://www.cbs.cw/" xr:uid="{12E97E38-A645-40DD-8675-A937D426E8E7}"/>
    <hyperlink ref="A70" r:id="rId68" display="http://www.one.gob.do/" xr:uid="{C93A8A42-A37D-4CAC-9900-E4F65D415368}"/>
    <hyperlink ref="A71" r:id="rId69" display="http://www.ecuadorencifras.gob.ec/" xr:uid="{F312CA2B-95D2-4373-9000-9EC9E91E5CF1}"/>
    <hyperlink ref="A72" r:id="rId70" display="http://www.digestyc.gob.sv/" xr:uid="{18A5AB00-B95D-4DCF-9ADC-9CE602BDE084}"/>
    <hyperlink ref="A73" r:id="rId71" display="http://www.ine.gob.gt/" xr:uid="{204CF2FA-CD71-471D-BFD9-30C7C4C5D506}"/>
    <hyperlink ref="A74" r:id="rId72" display="http://www.statisticsguyana.gov.gy/" xr:uid="{6D84B146-EE06-48F5-80FC-F37B27819986}"/>
    <hyperlink ref="A75" r:id="rId73" display="http://www.ihsi.ht/" xr:uid="{5EEC0A8B-56C0-4FEE-A374-ED4B48F687F8}"/>
    <hyperlink ref="A76" r:id="rId74" display="https://www.ine.gob.hn/V3/" xr:uid="{85CE6499-266D-498E-A7A6-D33EB80B6C2F}"/>
    <hyperlink ref="A77" r:id="rId75" display="http://www.statinja.gov.jm/" xr:uid="{811B411E-B95C-4E98-83EB-BC54947696B4}"/>
    <hyperlink ref="A78" r:id="rId76" display="http://www.inegi.org.mx/" xr:uid="{D2DE3071-9538-43C0-BB3E-53FB19DA584F}"/>
    <hyperlink ref="A79" r:id="rId77" display="http://www.inide.gob.ni/" xr:uid="{B452B418-BADA-439A-93C9-027A00F3ACA6}"/>
    <hyperlink ref="A80" r:id="rId78" display="http://www.contraloria.gob.pa/inec/" xr:uid="{549E80C2-9CF4-4898-AA31-7A0892281ABA}"/>
    <hyperlink ref="A81" r:id="rId79" display="http://www.dgeec.gov.py/" xr:uid="{E4038E1E-7C3D-4A9B-B0BF-907B12BCAF78}"/>
    <hyperlink ref="A82" r:id="rId80" display="http://www.inei.gob.pe/" xr:uid="{3D4AF6AF-DCAD-4C66-BD1B-0EBCDBC4A55B}"/>
    <hyperlink ref="A83" r:id="rId81" display="http://www.stats.gov.lc/" xr:uid="{CE361F10-DA0E-4978-AF8B-CB6740E319E0}"/>
    <hyperlink ref="A84" r:id="rId82" display="http://www.sintmaartengov.org/Government/Ministry of Tourism Economic Affairs Transport and Telecommunication/stat/Pages/Statistics.aspx" xr:uid="{3F25A5FC-2132-4165-A468-CC2493DEE8F6}"/>
    <hyperlink ref="A85" r:id="rId83" display="http://www.statistics-suriname.org/" xr:uid="{4AFA706D-1284-41E1-9548-963DEA6C4F2D}"/>
    <hyperlink ref="A86" r:id="rId84" display="http://www.cso.gov.tt/" xr:uid="{5E9617A3-ED39-4E23-ADF0-6FF796EF9090}"/>
    <hyperlink ref="A87" r:id="rId85" display="http://www.depstc.org/" xr:uid="{CCA14FBD-472B-4B06-81CF-64F698ABDD1F}"/>
    <hyperlink ref="A88" r:id="rId86" display="http://www.ine.gub.uy/" xr:uid="{02B46D62-2850-4764-91B0-1290A218853E}"/>
    <hyperlink ref="A89" r:id="rId87" display="https://fedstats.sites.usa.gov/" xr:uid="{A6FE1C24-1263-48F3-A4C0-90D9CF667823}"/>
    <hyperlink ref="A90" r:id="rId88" display="http://www.census.gov/" xr:uid="{5FA06235-C63D-4028-8F54-598E322DCF37}"/>
    <hyperlink ref="A91" r:id="rId89" display="http://www.bea.gov/" xr:uid="{4B1C9CC1-09BB-454A-9C52-AE5BE6693597}"/>
    <hyperlink ref="A92" r:id="rId90" display="http://www.ojp.usdoj.gov/bjs/" xr:uid="{6D1456F5-5A3B-441E-885D-0C9973CC997E}"/>
    <hyperlink ref="A93" r:id="rId91" display="http://stats.bls.gov/" xr:uid="{54A8096B-1D10-4E8B-BF8F-78154EF9C4D7}"/>
    <hyperlink ref="A94" r:id="rId92" display="http://www.bts.gov/" xr:uid="{98D92CD0-EB9A-4EEE-BF4C-F7C90885A642}"/>
    <hyperlink ref="A95" r:id="rId93" display="http://www.publicadministration.net/resources/a-historical-look-at-the-stat-usa-project/" xr:uid="{DDC2E902-A6BB-4F31-B956-BC596D59DF99}"/>
    <hyperlink ref="A96" r:id="rId94" display="http://www.eia.doe.gov/" xr:uid="{EDC6538D-F05A-452F-8088-B240050678C1}"/>
    <hyperlink ref="A97" r:id="rId95" display="http://www.cdc.gov/nchswww/" xr:uid="{71C45196-E0D6-4FEE-9D86-13380E3D218A}"/>
    <hyperlink ref="A98" r:id="rId96" display="http://www.ed.gov/NCES/" xr:uid="{0C8F9952-D7B9-49F2-876B-85DDE1B048A8}"/>
    <hyperlink ref="A99" r:id="rId97" display="http://www.ers.usda.gov/" xr:uid="{37FB818B-3E0D-4F24-87E1-6F8FBDE536FC}"/>
    <hyperlink ref="A100" r:id="rId98" display="http://www.ine.gov.ve/" xr:uid="{2CCC2CB4-AC57-4224-BE7C-7F47C1940DFA}"/>
    <hyperlink ref="A101" r:id="rId99" display="http://www.armstat.am/" xr:uid="{8F94E471-65A2-4491-8195-043CCE522103}"/>
    <hyperlink ref="A102" r:id="rId100" display="https://www.stat.gov.az/?lang=en" xr:uid="{6B35A331-DACD-486A-B8D7-AFE461EACF38}"/>
    <hyperlink ref="A103" r:id="rId101" display="http://www.cio.gov.bh/" xr:uid="{1FA51193-77C6-45B5-BBE9-11C67F6889AB}"/>
    <hyperlink ref="A104" r:id="rId102" display="http://www.bbs.gov.bd/" xr:uid="{495A7C62-E441-4AFF-9054-A740ACF46D93}"/>
    <hyperlink ref="A105" r:id="rId103" display="http://www.nsb.gov.bt/" xr:uid="{0CD9F741-1BEB-462E-B98F-8371B94ACA78}"/>
    <hyperlink ref="A106" r:id="rId104" display="http://www.depd.gov.bn/dept_dos.html" xr:uid="{23ED22FC-55BE-4A7E-A9D2-05355DAB1390}"/>
    <hyperlink ref="A107" r:id="rId105" display="http://www.nis.gov.kh/" xr:uid="{12E2895D-C79B-4835-B23D-AC239EF9766D}"/>
    <hyperlink ref="A108" r:id="rId106" display="http://www.stats.gov.cn/" xr:uid="{0BB6F330-83FC-4714-9EE2-B7FE34A78370}"/>
    <hyperlink ref="A109" r:id="rId107" display="http://www.censtatd.gov.hk/" xr:uid="{091B6F91-EB7C-47AC-9ED1-CDC50305F2F3}"/>
    <hyperlink ref="A110" r:id="rId108" display="http://www.dsec.gov.mo/" xr:uid="{53DAF190-ADF3-445B-B383-91D66485E063}"/>
    <hyperlink ref="A111" r:id="rId109" display="http://www.mof.gov.cy/mof/cystat/statistics.nsf" xr:uid="{C1582903-F9B2-4AEB-8CA9-A9B28EDE2865}"/>
    <hyperlink ref="A112" r:id="rId110" display="http://www.geostat.ge/index.php?lang=eng" xr:uid="{3FC330C3-A007-410B-9007-F501A379AA7F}"/>
    <hyperlink ref="A113" r:id="rId111" display="http://www.mospi.gov.in/" xr:uid="{1B638A85-767C-40E3-BC66-79778EDD7E8E}"/>
    <hyperlink ref="A114" r:id="rId112" display="http://www.bps.go.id/" xr:uid="{2752F315-E349-4044-9DCC-14D973A10941}"/>
    <hyperlink ref="A115" r:id="rId113" display="http://www.amar.org.ir/" xr:uid="{A7673458-70BA-47F6-9343-CEE3F2C7DE0C}"/>
    <hyperlink ref="A116" r:id="rId114" display="http://cosit.gov.iq/english/index.php" xr:uid="{600D3766-AB6E-4CA9-B234-7FFFA4625965}"/>
    <hyperlink ref="A117" r:id="rId115" display="http://www.cbs.gov.il/" xr:uid="{B22F125A-878E-4EE7-85A5-DBB06076FA5A}"/>
    <hyperlink ref="A119" r:id="rId116" display="http://www.soumu.go.jp/english/dgpp_ss/seido/guide/2011ver/07.htm" xr:uid="{DF9E1905-8734-40E4-9882-1DA90C10F492}"/>
    <hyperlink ref="A120" r:id="rId117" display="http://www.stat.go.jp/" xr:uid="{592DD15D-E60F-4AD9-B8D5-3EAB096D4283}"/>
    <hyperlink ref="A121" r:id="rId118" display="http://www.dos.gov.jo/" xr:uid="{20B922FD-4A22-45B0-AD48-511D640DE577}"/>
    <hyperlink ref="A122" r:id="rId119" display="http://www.stat.gov.kz/" xr:uid="{07BD0F89-9CDD-4E81-9FAA-E37EC4A2C3F2}"/>
    <hyperlink ref="A123" r:id="rId120" display="http://www.stat.kg/" xr:uid="{4702303D-AD5A-4ECE-B204-92F8EAFF9DD7}"/>
    <hyperlink ref="A124" r:id="rId121" display="http://kostat.go.kr/" xr:uid="{0AFE20AA-7336-41A4-A292-D74ADAD8D763}"/>
    <hyperlink ref="A125" r:id="rId122" display="http://www.csb.gov.kw/Default_EN.aspx" xr:uid="{E0B40A74-6239-43B2-A60A-614F351C7384}"/>
    <hyperlink ref="A126" r:id="rId123" display="http://www.lsb.gov.la/" xr:uid="{0A29A98F-3CB7-4DD2-855A-662FF25E4489}"/>
    <hyperlink ref="A127" r:id="rId124" display="http://www.cas.gov.lb/" xr:uid="{345449EC-57F1-44A1-9502-C8C72B7ADCF2}"/>
    <hyperlink ref="A128" r:id="rId125" display="https://www.dosm.gov.my/v1/" xr:uid="{9FB57FE5-FAAE-49B8-904C-BDBC7CDCCAA0}"/>
    <hyperlink ref="A129" r:id="rId126" display="http://www.planning.gov.mv/" xr:uid="{E8D17A62-2209-4CA1-A7C3-9B6205E1F451}"/>
    <hyperlink ref="A130" r:id="rId127" display="http://www.nso.mn/" xr:uid="{DC0B86A1-E182-44DC-B44B-FD3E7B1AE818}"/>
    <hyperlink ref="A131" r:id="rId128" display="http://www.csostat.gov.mm/" xr:uid="{9EE84577-96A5-4270-85A2-A62B07C40F0A}"/>
    <hyperlink ref="A132" r:id="rId129" display="http://www.cbs.gov.np/" xr:uid="{9280BA07-DFE8-4D6F-BDF4-3250885C0F1E}"/>
    <hyperlink ref="A133" r:id="rId130" display="http://www.ncsi.gov.om/NCSI_website/NCSI_EN.aspx" xr:uid="{99E858F4-E632-4E98-86B8-FAC414589686}"/>
    <hyperlink ref="A135" r:id="rId131" display="http://www.pbs.gov.pk/" xr:uid="{A6E37852-D227-44FC-8DF0-786A40A08126}"/>
    <hyperlink ref="A136" r:id="rId132" display="http://www.ead.gov.pk/" xr:uid="{183C72EE-E96D-48C4-975B-FB1BF5FE1451}"/>
    <hyperlink ref="A137" r:id="rId133" display="http://www.psa.gov.ph/" xr:uid="{7BFC0E0F-46B3-4921-9D9F-FBA5C0B5AA0A}"/>
    <hyperlink ref="A138" r:id="rId134" display="http://www.qsa.gov.qa/eng/index.htm" xr:uid="{FEC387B6-D9CE-4138-A292-FA8DA09D8E03}"/>
    <hyperlink ref="A139" r:id="rId135" display="https://www.stats.gov.sa/en" xr:uid="{AF908A9C-7692-46AB-AFF6-59406297D41F}"/>
    <hyperlink ref="A140" r:id="rId136" display="http://www.singstat.gov.sg/" xr:uid="{83128740-2381-4579-9C2D-8EBB4E932945}"/>
    <hyperlink ref="A141" r:id="rId137" display="http://www.statistics.gov.lk/" xr:uid="{3CE5C6C3-CB1B-4E05-A9C5-3AF2072118FF}"/>
    <hyperlink ref="A142" r:id="rId138" display="http://www.pcbs.gov.ps/" xr:uid="{9CD22024-F864-419C-AEAC-C29BA902199F}"/>
    <hyperlink ref="A143" r:id="rId139" display="http://www.cbssyr.org/" xr:uid="{A97D7E34-1EBC-42B3-BD91-55D6073FCB41}"/>
    <hyperlink ref="A144" r:id="rId140" display="http://www.stat.tj/" xr:uid="{47559623-AA3F-4486-A9B8-D27D946C7F72}"/>
    <hyperlink ref="A145" r:id="rId141" display="http://www.nso.go.th/" xr:uid="{AE939CE2-D161-4226-AFC4-A5335DD37266}"/>
    <hyperlink ref="A146" r:id="rId142" display="http://dne.mof.gov.tl/index.htm" xr:uid="{F05B00F9-3892-4466-8522-5D5ABD788F02}"/>
    <hyperlink ref="A147" r:id="rId143" display="http://www.turkstat.gov.tr/" xr:uid="{CC1B3720-824B-4EED-ADBE-F50197E48634}"/>
    <hyperlink ref="A148" r:id="rId144" display="http://www.fcsa.gov.ae/" xr:uid="{568F9CBF-3031-40A3-9B55-79B7FAABC5EB}"/>
    <hyperlink ref="A149" r:id="rId145" display="http://www.stat.uz/" xr:uid="{93E3FBF8-7D35-4BA2-9F6C-65A7E31FD47D}"/>
    <hyperlink ref="A150" r:id="rId146" display="http://www.gso.gov.vn/" xr:uid="{1DD45069-6AA8-4EA7-972D-94AB059349DA}"/>
    <hyperlink ref="A151" r:id="rId147" display="http://www.asub.ax/" xr:uid="{3E4D8222-CB61-44CA-BDBE-5337E73880A9}"/>
    <hyperlink ref="A152" r:id="rId148" display="http://www.instat.gov.al/" xr:uid="{E197542D-C453-42E9-9C7F-74CC1C5279C4}"/>
    <hyperlink ref="A153" r:id="rId149" display="http://www.estadistica.ad/" xr:uid="{85A404A5-D3D0-4E94-864E-51F76EA3912A}"/>
    <hyperlink ref="A154" r:id="rId150" display="http://www.statistik.at/" xr:uid="{F2B196B2-98F8-483D-9956-69D735439B41}"/>
    <hyperlink ref="A155" r:id="rId151" display="http://belstat.gov.by/" xr:uid="{4E575F9A-9FC3-497C-81C8-245B815B8BF1}"/>
    <hyperlink ref="A156" r:id="rId152" display="http://www.statbel.fgov.be/" xr:uid="{B9455068-56F7-477A-9F2E-9CAD93AC7C60}"/>
    <hyperlink ref="A158" r:id="rId153" display="http://www.bhas.ba/" xr:uid="{9B8E07A5-F8D6-4CA8-836D-6F30AAE2DFB7}"/>
    <hyperlink ref="A159" r:id="rId154" display="http://www.fzs.ba/" xr:uid="{F56D8AEA-41A7-454F-A619-D101648EC24B}"/>
    <hyperlink ref="A160" r:id="rId155" display="http://www.rzs.rs.ba/" xr:uid="{5DA98972-4CC7-47D4-8AF3-EABFA979E27C}"/>
    <hyperlink ref="A161" r:id="rId156" display="http://www.nsi.bg/" xr:uid="{343F7ED8-DB0B-4E4E-87C8-5B317A5AC00F}"/>
    <hyperlink ref="A162" r:id="rId157" display="http://www.dzs.hr/" xr:uid="{09A48830-F839-44CA-BD9C-EEF084C71690}"/>
    <hyperlink ref="A163" r:id="rId158" display="http://www.czso.cz/" xr:uid="{B304683F-74CE-4104-BB2D-21006CC67C92}"/>
    <hyperlink ref="A164" r:id="rId159" display="http://www.dst.dk/" xr:uid="{984BF11D-49AF-4AF4-BD1B-D5F8B2D63F73}"/>
    <hyperlink ref="A165" r:id="rId160" display="http://www.stat.ee/" xr:uid="{D9A83F7C-7336-4BDE-B831-093C017C9DA9}"/>
    <hyperlink ref="A166" r:id="rId161" display="http://www.hagstova.fo/" xr:uid="{0E1F8DD2-E723-411B-81AD-FBEBF923EF0C}"/>
    <hyperlink ref="A167" r:id="rId162" display="http://www.stat.fi/" xr:uid="{E3671F54-6A87-4BF0-B888-5B20E433364F}"/>
    <hyperlink ref="A169" r:id="rId163" display="http://www.insee.fr/" xr:uid="{6FE17309-B67C-4E0F-B084-33CF2B700C2D}"/>
    <hyperlink ref="A170" r:id="rId164" display="http://www.statistique-publique.fr/" xr:uid="{AA528404-A746-4F01-A190-7562381E7E00}"/>
    <hyperlink ref="A171" r:id="rId165" display="http://www.destatis.de/" xr:uid="{1ACB076E-D3AC-4CE4-8C78-BF4E18B326F8}"/>
    <hyperlink ref="A172" r:id="rId166" display="http://www.statistics.gr/" xr:uid="{F059D25F-90FB-4D04-B726-F7028E55A647}"/>
    <hyperlink ref="A173" r:id="rId167" display="http://www.stat.gl/" xr:uid="{50FFF9D0-A182-49D9-B2DE-AAAD86B4F495}"/>
    <hyperlink ref="A174" r:id="rId168" display="http://www.ksh.hu/?lang=en" xr:uid="{6FEF495B-DB68-4C7D-832B-034D47FCD3D8}"/>
    <hyperlink ref="A175" r:id="rId169" display="http://www.hagstofa.is/" xr:uid="{B33EFFE8-A694-4475-82D4-95E0352439FC}"/>
    <hyperlink ref="A176" r:id="rId170" display="http://www.cso.ie/" xr:uid="{06022700-FB8A-4929-AE5C-902BA2C26DE0}"/>
    <hyperlink ref="A177" r:id="rId171" display="http://www.istat.it/" xr:uid="{BBA08A9B-9927-46AB-A91B-E5DA9B899CBB}"/>
    <hyperlink ref="A178" r:id="rId172" display="http://www.csb.lv/" xr:uid="{09CA6C5D-2A37-4D01-BE60-D470B2E502A0}"/>
    <hyperlink ref="A179" r:id="rId173" display="http://www.as.llv.li/" xr:uid="{EB9B1782-1F87-4D0B-B419-126B0B2B0770}"/>
    <hyperlink ref="A180" r:id="rId174" display="http://www.stat.gov.lt/" xr:uid="{00C6215D-B7D3-40F1-9C50-3D9B12A09176}"/>
    <hyperlink ref="A181" r:id="rId175" display="http://www.statec.lu/" xr:uid="{E049AA44-5FF1-4FE5-84D5-98CC6680D2CD}"/>
    <hyperlink ref="A182" r:id="rId176" display="http://www.nso.gov.mt/" xr:uid="{2B5E7E78-2652-40D4-977D-273A84AE7F00}"/>
    <hyperlink ref="A183" r:id="rId177" display="http://www.statistica.md/?lang=en" xr:uid="{E039D518-3A68-492D-AF9A-9FE5838458D1}"/>
    <hyperlink ref="A184" r:id="rId178" display="http://www.gouv.mc/" xr:uid="{9866C2EA-C2D9-4EE5-B3EB-E84B4CF03D02}"/>
    <hyperlink ref="A185" r:id="rId179" display="http://www.monstat.org/" xr:uid="{CC13C560-A162-4201-B15D-643D5283C02A}"/>
    <hyperlink ref="A187" r:id="rId180" display="http://www.cbs.nl/" xr:uid="{148AF75E-B57D-4568-8065-FC0C19A6F325}"/>
    <hyperlink ref="A189" r:id="rId181" display="http://www.stat.gov.mk/" xr:uid="{287A00FB-E66C-421E-80A5-77EDF6B2AF56}"/>
    <hyperlink ref="A190" r:id="rId182" display="http://www.ssb.no/" xr:uid="{A7EDC586-6F94-4151-9517-AF00E60E04C4}"/>
    <hyperlink ref="A191" r:id="rId183" display="http://www.stat.gov.pl/" xr:uid="{A369240C-C50F-4AE8-B115-C65B54D89EFA}"/>
    <hyperlink ref="A192" r:id="rId184" display="http://www.ine.pt/" xr:uid="{721B1688-E2BD-44D2-81B2-B478429EE1E7}"/>
    <hyperlink ref="A193" r:id="rId185" display="http://www.insse.ro/" xr:uid="{DFB15490-1002-4156-B8EF-FF0AA03E4DA1}"/>
    <hyperlink ref="A194" r:id="rId186" display="http://www.gks.ru/" xr:uid="{4C83A125-2483-47BE-AF57-908B9DEFB3CD}"/>
    <hyperlink ref="A195" r:id="rId187" display="http://www.upeceds.sm/" xr:uid="{533B9C2E-50D0-4AD7-A199-B3A3AC4498AD}"/>
    <hyperlink ref="A196" r:id="rId188" display="http://webrzs.stat.gov.rs/WebSite/" xr:uid="{F716338A-D455-4C8A-9E8D-FAC121334293}"/>
    <hyperlink ref="A197" r:id="rId189" display="http://www.statistics.sk/" xr:uid="{8E74DC6F-0D41-4F4D-BA51-986848EF4A04}"/>
    <hyperlink ref="A198" r:id="rId190" display="http://www.stat.si/" xr:uid="{3959A439-7AC6-4E3F-B742-FFC57D74DC8E}"/>
    <hyperlink ref="A199" r:id="rId191" display="http://www.ine.es/" xr:uid="{02F2BD89-9775-489D-8BB9-B4BCAF914041}"/>
    <hyperlink ref="A200" r:id="rId192" display="http://www.scb.se/" xr:uid="{A91E258C-88B6-4A35-B2D2-C8060B2A376A}"/>
    <hyperlink ref="A201" r:id="rId193" display="http://www.bfs.admin.ch/" xr:uid="{D2B68009-675B-432D-8A42-D44F8D0EDEA4}"/>
    <hyperlink ref="A202" r:id="rId194" display="http://www.ukrstat.gov.ua/" xr:uid="{C502B39B-0FE7-45F4-AA80-8880055578D9}"/>
    <hyperlink ref="A204" r:id="rId195" display="http://www.statistics.gov.uk/" xr:uid="{52E68908-7426-47E6-95D2-4AAD8AEA0226}"/>
    <hyperlink ref="A205" r:id="rId196" display="http://www.statistics.gov.uk/default.asp" xr:uid="{1710F207-8BD0-4EB0-94DF-1D9AD331FE0D}"/>
    <hyperlink ref="A206" r:id="rId197" display="http://www.abs.gov.au/" xr:uid="{0DA3EE62-5295-4023-A208-53843DCF69DA}"/>
    <hyperlink ref="A207" r:id="rId198" display="http://www.stats.gov.ck/" xr:uid="{913601AF-59FA-4B16-B54B-7D5F2C3A3256}"/>
    <hyperlink ref="A208" r:id="rId199" display="http://www.statsfiji.gov.fj/" xr:uid="{11146AB4-B913-47F1-800A-543F56C0B196}"/>
    <hyperlink ref="A209" r:id="rId200" display="http://www.bsp.guam.gov/" xr:uid="{8145E95D-EF23-4375-A20B-C52EBF057DC9}"/>
    <hyperlink ref="A210" r:id="rId201" display="http://www.spc.int/prism/Country/KI/Stats/" xr:uid="{F23C0A31-88FB-422D-AD06-8CF67D1BB769}"/>
    <hyperlink ref="A211" r:id="rId202" display="http://www.fsmgov.org/info/people.html" xr:uid="{A3DBAB5A-400F-40F4-9A39-7FB4AE288C3A}"/>
    <hyperlink ref="A213" r:id="rId203" display="http://www.rmiembassyus.org/" xr:uid="{0E1F0501-67C1-4D62-9B3F-E40A2EACC342}"/>
    <hyperlink ref="A214" r:id="rId204" display="http://www.spc.int/prism/country/mh/stats/" xr:uid="{3DBF5530-128E-4CD5-AE8B-5E4DE88A8C4F}"/>
    <hyperlink ref="A215" r:id="rId205" display="http://www.spc.int/prism/country/nr/stats/" xr:uid="{5BBF8BED-7EC4-431F-92AF-8BE1CA94EFC4}"/>
    <hyperlink ref="A216" r:id="rId206" display="http://www.stats.govt.nz/" xr:uid="{24E84ECB-F667-4832-BFCF-62647B646C2E}"/>
    <hyperlink ref="A217" r:id="rId207" display="http://www.spc.int/prism/Country/NU/stats/" xr:uid="{AB8B0C02-1475-41EF-B73C-4284D38E6D9D}"/>
    <hyperlink ref="A218" r:id="rId208" display="http://commerce.gov.mp/divisions/central-statistics/" xr:uid="{BB2C52E5-19FC-47F9-BCE7-571AE99D3F7E}"/>
    <hyperlink ref="A219" r:id="rId209" display="http://www.palaugov.net/stats/" xr:uid="{DBE79EAE-4B43-4F2C-B213-E6F3EAD30D1A}"/>
    <hyperlink ref="A220" r:id="rId210" display="http://www.nso.gov.pg/" xr:uid="{5D57E500-A4AE-4D6D-8896-738945382DD5}"/>
    <hyperlink ref="A221" r:id="rId211" display="http://www.sbs.gov.ws/" xr:uid="{2ECA93C9-840C-4B13-BCAD-454EA3F14F60}"/>
    <hyperlink ref="A222" r:id="rId212" display="http://www.spc.int/prism/country/sb/stats/" xr:uid="{C818C617-11F7-4752-AE90-E3655A714DD3}"/>
    <hyperlink ref="A223" r:id="rId213" display="http://www.spc.int/prism/country/tk/stats/" xr:uid="{F5AA860D-8AD2-46B1-8146-63EC60486404}"/>
    <hyperlink ref="A224" r:id="rId214" display="http://www.spc.int/prism/Country/TO/stats/" xr:uid="{FF573823-131E-42BE-9CC0-FB1879C97BD9}"/>
    <hyperlink ref="A225" r:id="rId215" display="http://www.spc.int/prism/country/tv/stats/" xr:uid="{72297C11-834C-43FF-96DC-38372FC84C0E}"/>
    <hyperlink ref="A226" r:id="rId216" display="http://www.spc.int/prism/Country/VU/stats/" xr:uid="{CE59BC33-5E53-4806-95EB-11B28422F77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WBG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Boller</dc:creator>
  <cp:keywords/>
  <dc:description/>
  <cp:lastModifiedBy/>
  <cp:revision/>
  <dcterms:created xsi:type="dcterms:W3CDTF">2025-03-11T20:13:35Z</dcterms:created>
  <dcterms:modified xsi:type="dcterms:W3CDTF">2025-05-07T15:24:46Z</dcterms:modified>
  <cp:category/>
  <cp:contentStatus/>
</cp:coreProperties>
</file>